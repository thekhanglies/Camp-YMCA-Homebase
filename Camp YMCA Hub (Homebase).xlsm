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khang\Downloads\"/>
    </mc:Choice>
  </mc:AlternateContent>
  <xr:revisionPtr revIDLastSave="0" documentId="8_{F0936FCC-91A3-4F3D-95D9-38CCB35A91E0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Homebase" sheetId="10" r:id="rId1"/>
    <sheet name="Documentation" sheetId="8" r:id="rId2"/>
    <sheet name="Optimization" sheetId="1" r:id="rId3"/>
    <sheet name="Partnership List" sheetId="16" r:id="rId4"/>
    <sheet name="Pivot Tables - Visuals" sheetId="13" r:id="rId5"/>
    <sheet name="Scenario Testing" sheetId="4" r:id="rId6"/>
  </sheets>
  <definedNames>
    <definedName name="_xleta.CHAR" hidden="1" xlm="1">#NAME?</definedName>
    <definedName name="_xleta.NA" hidden="1" xlm="1">#NAME?</definedName>
    <definedName name="_xleta.OFFSET" hidden="1" xlm="1">#NAME?</definedName>
    <definedName name="_xleta.PI" hidden="1" xlm="1">#NAME?</definedName>
    <definedName name="_xleta.T" hidden="1" xlm="1">#NAME?</definedName>
    <definedName name="Partnership_Data">'Partnership List'!$A$11:$H$44</definedName>
    <definedName name="_xlnm.Print_Area" localSheetId="0">Homebase!$D$1:$Q$67</definedName>
    <definedName name="solver_adj" localSheetId="0" hidden="1">Homebase!$Y$7:$Y$16</definedName>
    <definedName name="solver_adj" localSheetId="2" hidden="1">Optimization!$F$2:$F$11</definedName>
    <definedName name="solver_cvg" localSheetId="0" hidden="1">0.0001</definedName>
    <definedName name="solver_cvg" localSheetId="2" hidden="1">0.0001</definedName>
    <definedName name="solver_drv" localSheetId="0" hidden="1">2</definedName>
    <definedName name="solver_drv" localSheetId="2" hidden="1">1</definedName>
    <definedName name="solver_eng" localSheetId="1" hidden="1">1</definedName>
    <definedName name="solver_eng" localSheetId="0" hidden="1">2</definedName>
    <definedName name="solver_eng" localSheetId="2" hidden="1">2</definedName>
    <definedName name="solver_est" localSheetId="0" hidden="1">1</definedName>
    <definedName name="solver_est" localSheetId="2" hidden="1">1</definedName>
    <definedName name="solver_itr" localSheetId="0" hidden="1">2147483647</definedName>
    <definedName name="solver_itr" localSheetId="2" hidden="1">2147483647</definedName>
    <definedName name="solver_lhs1" localSheetId="0" hidden="1">Homebase!$V$19</definedName>
    <definedName name="solver_lhs1" localSheetId="2" hidden="1">Optimization!$B$14</definedName>
    <definedName name="solver_lhs2" localSheetId="0" hidden="1">Homebase!$X$7:$X$16</definedName>
    <definedName name="solver_lhs2" localSheetId="2" hidden="1">Optimization!$F$2:$F$11</definedName>
    <definedName name="solver_lhs3" localSheetId="0" hidden="1">Homebase!$X$7:$X$16</definedName>
    <definedName name="solver_lhs3" localSheetId="2" hidden="1">Optimization!$F$2:$F$11</definedName>
    <definedName name="solver_lhs4" localSheetId="0" hidden="1">Homebase!$X$7:$X$16</definedName>
    <definedName name="solver_lhs4" localSheetId="2" hidden="1">Optimization!$F$2:$F$11</definedName>
    <definedName name="solver_lhs5" localSheetId="2" hidden="1">Optimization!$F$2:$F$11</definedName>
    <definedName name="solver_lin" localSheetId="0" hidden="1">2</definedName>
    <definedName name="solver_mip" localSheetId="0" hidden="1">2147483647</definedName>
    <definedName name="solver_mip" localSheetId="2" hidden="1">2147483647</definedName>
    <definedName name="solver_mni" localSheetId="0" hidden="1">30</definedName>
    <definedName name="solver_mni" localSheetId="2" hidden="1">30</definedName>
    <definedName name="solver_mrt" localSheetId="0" hidden="1">0.075</definedName>
    <definedName name="solver_mrt" localSheetId="2" hidden="1">0.075</definedName>
    <definedName name="solver_msl" localSheetId="0" hidden="1">2</definedName>
    <definedName name="solver_msl" localSheetId="2" hidden="1">2</definedName>
    <definedName name="solver_neg" localSheetId="1" hidden="1">1</definedName>
    <definedName name="solver_neg" localSheetId="0" hidden="1">1</definedName>
    <definedName name="solver_neg" localSheetId="2" hidden="1">2</definedName>
    <definedName name="solver_nod" localSheetId="0" hidden="1">2147483647</definedName>
    <definedName name="solver_nod" localSheetId="2" hidden="1">2147483647</definedName>
    <definedName name="solver_num" localSheetId="1" hidden="1">0</definedName>
    <definedName name="solver_num" localSheetId="0" hidden="1">4</definedName>
    <definedName name="solver_num" localSheetId="2" hidden="1">4</definedName>
    <definedName name="solver_nwt" localSheetId="0" hidden="1">1</definedName>
    <definedName name="solver_nwt" localSheetId="2" hidden="1">1</definedName>
    <definedName name="solver_opt" localSheetId="0" hidden="1">Homebase!$K$6</definedName>
    <definedName name="solver_opt" localSheetId="2" hidden="1">Optimization!$B$15</definedName>
    <definedName name="solver_pre" localSheetId="0" hidden="1">0.000001</definedName>
    <definedName name="solver_pre" localSheetId="2" hidden="1">0.000001</definedName>
    <definedName name="solver_rbv" localSheetId="0" hidden="1">2</definedName>
    <definedName name="solver_rbv" localSheetId="2" hidden="1">1</definedName>
    <definedName name="solver_rel1" localSheetId="0" hidden="1">1</definedName>
    <definedName name="solver_rel1" localSheetId="2" hidden="1">1</definedName>
    <definedName name="solver_rel2" localSheetId="0" hidden="1">1</definedName>
    <definedName name="solver_rel2" localSheetId="2" hidden="1">1</definedName>
    <definedName name="solver_rel3" localSheetId="0" hidden="1">1</definedName>
    <definedName name="solver_rel3" localSheetId="2" hidden="1">1</definedName>
    <definedName name="solver_rel4" localSheetId="0" hidden="1">3</definedName>
    <definedName name="solver_rel4" localSheetId="2" hidden="1">3</definedName>
    <definedName name="solver_rel5" localSheetId="2" hidden="1">3</definedName>
    <definedName name="solver_rhs1" localSheetId="0" hidden="1">Homebase!$N$6</definedName>
    <definedName name="solver_rhs1" localSheetId="2" hidden="1">Optimization!$K$2</definedName>
    <definedName name="solver_rhs2" localSheetId="0" hidden="1">Homebase!$W$7:$W$16</definedName>
    <definedName name="solver_rhs2" localSheetId="2" hidden="1">Optimization!$E$2:$E$11</definedName>
    <definedName name="solver_rhs3" localSheetId="0" hidden="1">1</definedName>
    <definedName name="solver_rhs3" localSheetId="2" hidden="1">1</definedName>
    <definedName name="solver_rhs4" localSheetId="0" hidden="1">0</definedName>
    <definedName name="solver_rhs4" localSheetId="2" hidden="1">0</definedName>
    <definedName name="solver_rhs5" localSheetId="2" hidden="1">0</definedName>
    <definedName name="solver_rlx" localSheetId="0" hidden="1">2</definedName>
    <definedName name="solver_rlx" localSheetId="2" hidden="1">2</definedName>
    <definedName name="solver_rsd" localSheetId="0" hidden="1">0</definedName>
    <definedName name="solver_rsd" localSheetId="2" hidden="1">0</definedName>
    <definedName name="solver_scl" localSheetId="0" hidden="1">2</definedName>
    <definedName name="solver_scl" localSheetId="2" hidden="1">1</definedName>
    <definedName name="solver_sho" localSheetId="0" hidden="1">2</definedName>
    <definedName name="solver_sho" localSheetId="2" hidden="1">2</definedName>
    <definedName name="solver_ssz" localSheetId="0" hidden="1">100</definedName>
    <definedName name="solver_ssz" localSheetId="2" hidden="1">100</definedName>
    <definedName name="solver_tim" localSheetId="0" hidden="1">2147483647</definedName>
    <definedName name="solver_tim" localSheetId="2" hidden="1">2147483647</definedName>
    <definedName name="solver_tol" localSheetId="0" hidden="1">0.01</definedName>
    <definedName name="solver_tol" localSheetId="2" hidden="1">0.01</definedName>
    <definedName name="solver_typ" localSheetId="1" hidden="1">1</definedName>
    <definedName name="solver_typ" localSheetId="0" hidden="1">1</definedName>
    <definedName name="solver_typ" localSheetId="2" hidden="1">1</definedName>
    <definedName name="solver_val" localSheetId="1" hidden="1">0</definedName>
    <definedName name="solver_val" localSheetId="0" hidden="1">0</definedName>
    <definedName name="solver_val" localSheetId="2" hidden="1">0</definedName>
    <definedName name="solver_ver" localSheetId="1" hidden="1">3</definedName>
    <definedName name="solver_ver" localSheetId="0" hidden="1">3</definedName>
    <definedName name="solver_ver" localSheetId="2" hidden="1">3</definedName>
  </definedNames>
  <calcPr calcId="191029"/>
  <pivotCaches>
    <pivotCache cacheId="8" r:id="rId7"/>
    <pivotCache cacheId="12" r:id="rId8"/>
  </pivotCaches>
</workbook>
</file>

<file path=xl/calcChain.xml><?xml version="1.0" encoding="utf-8"?>
<calcChain xmlns="http://schemas.openxmlformats.org/spreadsheetml/2006/main">
  <c r="E6" i="10" l="1"/>
  <c r="B13" i="4"/>
  <c r="B17" i="1"/>
  <c r="K64" i="10" l="1"/>
  <c r="L64" i="10" s="1"/>
  <c r="E59" i="10"/>
  <c r="F59" i="10"/>
  <c r="G59" i="10"/>
  <c r="I59" i="10"/>
  <c r="E60" i="10"/>
  <c r="F60" i="10"/>
  <c r="G60" i="10"/>
  <c r="I60" i="10"/>
  <c r="E61" i="10"/>
  <c r="F61" i="10"/>
  <c r="G61" i="10"/>
  <c r="I61" i="10"/>
  <c r="E62" i="10"/>
  <c r="F62" i="10"/>
  <c r="G62" i="10"/>
  <c r="I62" i="10"/>
  <c r="E63" i="10"/>
  <c r="F63" i="10"/>
  <c r="G63" i="10"/>
  <c r="I63" i="10"/>
  <c r="E64" i="10"/>
  <c r="F64" i="10"/>
  <c r="G64" i="10"/>
  <c r="I64" i="10"/>
  <c r="E58" i="10"/>
  <c r="F58" i="10"/>
  <c r="G58" i="10"/>
  <c r="I58" i="10"/>
  <c r="I57" i="10"/>
  <c r="G57" i="10"/>
  <c r="F57" i="10"/>
  <c r="E57" i="10"/>
  <c r="B8" i="16"/>
  <c r="I53" i="10" s="1"/>
  <c r="B6" i="16"/>
  <c r="H53" i="10" s="1"/>
  <c r="B5" i="16"/>
  <c r="G53" i="10" s="1"/>
  <c r="B4" i="16"/>
  <c r="E53" i="10" s="1"/>
  <c r="D12" i="16" l="1"/>
  <c r="G12" i="16" s="1" a="1"/>
  <c r="G12" i="16" s="1"/>
  <c r="D13" i="16"/>
  <c r="G13" i="16" s="1" a="1"/>
  <c r="G13" i="16" s="1"/>
  <c r="D14" i="16"/>
  <c r="G14" i="16" s="1" a="1"/>
  <c r="G14" i="16" s="1"/>
  <c r="D30" i="16"/>
  <c r="G30" i="16" s="1" a="1"/>
  <c r="G30" i="16" s="1"/>
  <c r="D31" i="16"/>
  <c r="G31" i="16" s="1" a="1"/>
  <c r="G31" i="16" s="1"/>
  <c r="D32" i="16"/>
  <c r="G32" i="16" s="1" a="1"/>
  <c r="G32" i="16" s="1"/>
  <c r="D33" i="16"/>
  <c r="G33" i="16" s="1" a="1"/>
  <c r="G33" i="16" s="1"/>
  <c r="D34" i="16"/>
  <c r="G34" i="16" s="1" a="1"/>
  <c r="G34" i="16" s="1"/>
  <c r="D35" i="16"/>
  <c r="G35" i="16" s="1" a="1"/>
  <c r="G35" i="16" s="1"/>
  <c r="D36" i="16"/>
  <c r="G36" i="16" s="1" a="1"/>
  <c r="G36" i="16" s="1"/>
  <c r="D37" i="16"/>
  <c r="G37" i="16" s="1" a="1"/>
  <c r="G37" i="16" s="1"/>
  <c r="D38" i="16"/>
  <c r="G38" i="16" s="1" a="1"/>
  <c r="G38" i="16" s="1"/>
  <c r="D39" i="16"/>
  <c r="G39" i="16" s="1" a="1"/>
  <c r="G39" i="16" s="1"/>
  <c r="D40" i="16"/>
  <c r="G40" i="16" s="1" a="1"/>
  <c r="G40" i="16" s="1"/>
  <c r="D41" i="16"/>
  <c r="G41" i="16" s="1" a="1"/>
  <c r="G41" i="16" s="1"/>
  <c r="D42" i="16"/>
  <c r="G42" i="16" s="1" a="1"/>
  <c r="G42" i="16" s="1"/>
  <c r="D43" i="16"/>
  <c r="G43" i="16" s="1" a="1"/>
  <c r="G43" i="16" s="1"/>
  <c r="D44" i="16"/>
  <c r="G44" i="16" s="1" a="1"/>
  <c r="G44" i="16" s="1"/>
  <c r="B3" i="16"/>
  <c r="D17" i="16" s="1"/>
  <c r="H3" i="1"/>
  <c r="H4" i="1"/>
  <c r="H5" i="1"/>
  <c r="H6" i="1"/>
  <c r="H7" i="1"/>
  <c r="H8" i="1"/>
  <c r="H9" i="1"/>
  <c r="H10" i="1"/>
  <c r="H11" i="1"/>
  <c r="G3" i="1"/>
  <c r="G4" i="1"/>
  <c r="G5" i="1"/>
  <c r="G6" i="1"/>
  <c r="G7" i="1"/>
  <c r="G8" i="1"/>
  <c r="G9" i="1"/>
  <c r="G10" i="1"/>
  <c r="G11" i="1"/>
  <c r="G17" i="16" l="1" a="1"/>
  <c r="G17" i="16" s="1"/>
  <c r="D23" i="16"/>
  <c r="D25" i="16"/>
  <c r="D22" i="16"/>
  <c r="D29" i="16"/>
  <c r="G29" i="16" s="1" a="1"/>
  <c r="G29" i="16" s="1"/>
  <c r="D27" i="16"/>
  <c r="G27" i="16" s="1" a="1"/>
  <c r="G27" i="16" s="1"/>
  <c r="D21" i="16"/>
  <c r="G21" i="16" s="1" a="1"/>
  <c r="G21" i="16" s="1"/>
  <c r="D20" i="16"/>
  <c r="G20" i="16" s="1" a="1"/>
  <c r="G20" i="16" s="1"/>
  <c r="D24" i="16"/>
  <c r="D19" i="16"/>
  <c r="D28" i="16"/>
  <c r="G28" i="16" s="1" a="1"/>
  <c r="G28" i="16" s="1"/>
  <c r="D26" i="16"/>
  <c r="G26" i="16" s="1" a="1"/>
  <c r="G26" i="16" s="1"/>
  <c r="D18" i="16"/>
  <c r="D16" i="16"/>
  <c r="H61" i="10" l="1"/>
  <c r="H57" i="10"/>
  <c r="G24" i="16" a="1"/>
  <c r="G24" i="16" s="1"/>
  <c r="H59" i="10"/>
  <c r="G23" i="16" a="1"/>
  <c r="G23" i="16" s="1"/>
  <c r="H58" i="10"/>
  <c r="G25" i="16" a="1"/>
  <c r="G25" i="16" s="1"/>
  <c r="H62" i="10"/>
  <c r="G18" i="16" a="1"/>
  <c r="G18" i="16" s="1"/>
  <c r="H63" i="10"/>
  <c r="G19" i="16" a="1"/>
  <c r="G19" i="16" s="1"/>
  <c r="H64" i="10"/>
  <c r="G22" i="16" a="1"/>
  <c r="G22" i="16" s="1"/>
  <c r="G16" i="16" a="1"/>
  <c r="G16" i="16" s="1"/>
  <c r="E3" i="1"/>
  <c r="E4" i="1"/>
  <c r="E5" i="1"/>
  <c r="E6" i="1"/>
  <c r="E7" i="1"/>
  <c r="E8" i="1"/>
  <c r="E9" i="1"/>
  <c r="E10" i="1"/>
  <c r="E11" i="1"/>
  <c r="E2" i="1"/>
  <c r="H2" i="1"/>
  <c r="B15" i="1" s="1"/>
  <c r="M6" i="10" s="1"/>
  <c r="G2" i="1"/>
  <c r="B14" i="1" l="1"/>
  <c r="I6" i="10" s="1"/>
  <c r="B16" i="1"/>
  <c r="G6" i="10" s="1"/>
  <c r="D25" i="4" l="1"/>
  <c r="D24" i="4"/>
  <c r="D22" i="4"/>
  <c r="D23" i="4"/>
  <c r="K3" i="1"/>
  <c r="K4" i="1"/>
  <c r="K6" i="10" s="1"/>
  <c r="D3" i="4"/>
  <c r="D2" i="4"/>
  <c r="D5" i="4"/>
  <c r="D4" i="4"/>
  <c r="K5" i="1" l="1"/>
  <c r="C25" i="4"/>
  <c r="E25" i="4" s="1"/>
  <c r="C24" i="4"/>
  <c r="E24" i="4" s="1"/>
  <c r="C23" i="4"/>
  <c r="E23" i="4" s="1"/>
  <c r="C22" i="4"/>
  <c r="E22" i="4" s="1"/>
  <c r="C2" i="4"/>
  <c r="E2" i="4" s="1"/>
  <c r="C3" i="4"/>
  <c r="E3" i="4" s="1"/>
  <c r="C4" i="4"/>
  <c r="E4" i="4" s="1"/>
  <c r="C5" i="4"/>
  <c r="E5" i="4" s="1"/>
  <c r="D15" i="16" l="1"/>
  <c r="G15" i="16" l="1" a="1"/>
  <c r="G15" i="16" s="1"/>
  <c r="B7" i="16" s="1"/>
  <c r="F53" i="10" s="1"/>
  <c r="H60" i="10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<sst xmlns="http://schemas.openxmlformats.org/spreadsheetml/2006/main" count="324" uniqueCount="231">
  <si>
    <t>Cabin</t>
  </si>
  <si>
    <t>Capacity</t>
  </si>
  <si>
    <t>Rate per Night</t>
  </si>
  <si>
    <t>Nights</t>
  </si>
  <si>
    <t>Revenue</t>
  </si>
  <si>
    <t>Revontulet</t>
  </si>
  <si>
    <t>Cassiopeia</t>
  </si>
  <si>
    <t>Callisto</t>
  </si>
  <si>
    <t>Polaris</t>
  </si>
  <si>
    <t>Jack Pine</t>
  </si>
  <si>
    <t>Red Pine</t>
  </si>
  <si>
    <t>Fir</t>
  </si>
  <si>
    <t>Lyra</t>
  </si>
  <si>
    <t>Aquila</t>
  </si>
  <si>
    <t>Cedar</t>
  </si>
  <si>
    <t>Adjustable Inputs</t>
  </si>
  <si>
    <t>Total Revenue</t>
  </si>
  <si>
    <t>achen@ywcampls.org and kadani@ywcampls.org</t>
  </si>
  <si>
    <t>Annie Chen and Khadija Adani</t>
  </si>
  <si>
    <t>South High School</t>
  </si>
  <si>
    <t>gilberto.meza-mendoza@ymcamn.org</t>
  </si>
  <si>
    <t>Gilberto Meza-Mendoza</t>
  </si>
  <si>
    <t>Roosevelt High School</t>
  </si>
  <si>
    <t>tony.arnold@bgc-tc.org</t>
  </si>
  <si>
    <t>Tony Arnold</t>
  </si>
  <si>
    <t>Olson Middle School</t>
  </si>
  <si>
    <t>cory.luckett@mpls.k12.mn.us</t>
  </si>
  <si>
    <t>Cory Luckett</t>
  </si>
  <si>
    <t>Northeast Middle School</t>
  </si>
  <si>
    <t>rosalind.bakion@mpls.k12.mn.us</t>
  </si>
  <si>
    <t>Rosalind Bakion</t>
  </si>
  <si>
    <t>North High School</t>
  </si>
  <si>
    <t>pedro.bustamante@ymcamn.org</t>
  </si>
  <si>
    <t>Pedro Bustamante</t>
  </si>
  <si>
    <t>Nellie Stone Johnson</t>
  </si>
  <si>
    <t>sade.ogundiran@ymcamn.org</t>
  </si>
  <si>
    <t>Sade Ogundiran</t>
  </si>
  <si>
    <t>Minneapolis College: Beacons Next Gen</t>
  </si>
  <si>
    <t>mviscosi@ywcampls.org</t>
  </si>
  <si>
    <t>Marty Viscosi</t>
  </si>
  <si>
    <t>Hmong International Academy</t>
  </si>
  <si>
    <t>awright@ywcampls.org</t>
  </si>
  <si>
    <t>Aisha Wright</t>
  </si>
  <si>
    <t>Franklin Middle School</t>
  </si>
  <si>
    <t>ann.heathershaw-gay@mpls.k12.mn.us</t>
  </si>
  <si>
    <t>Ann Heathershaw-Gay</t>
  </si>
  <si>
    <t>Ella Baker</t>
  </si>
  <si>
    <t>katie.johns@mpls.k12.mn.us</t>
  </si>
  <si>
    <t>Katie Johns</t>
  </si>
  <si>
    <t>Downtown: FAIR &amp; Wellstone</t>
  </si>
  <si>
    <t>goldie.obasi@bgc-tc.org</t>
  </si>
  <si>
    <t>Goldie Obasi</t>
  </si>
  <si>
    <t>Camden High School (Henry)</t>
  </si>
  <si>
    <t>wendell.johnson@mpls.k12.mn.us</t>
  </si>
  <si>
    <t>Wendell Johnson</t>
  </si>
  <si>
    <t>Anwatin &amp; Bryn Mawr</t>
  </si>
  <si>
    <t>michelle.mendoza-hernandez@ymcamn.org</t>
  </si>
  <si>
    <t>Michelle Mendoza-Hernandez</t>
  </si>
  <si>
    <t>Anne Sullivan &amp; Anishinabe</t>
  </si>
  <si>
    <t>marija.nicholson@mpls.k12.mn.us</t>
  </si>
  <si>
    <t>Marija Nicholson</t>
  </si>
  <si>
    <t>Andersen United Middle School</t>
  </si>
  <si>
    <t>Email</t>
  </si>
  <si>
    <t>Ghosted</t>
  </si>
  <si>
    <t>info@mnrovers.org</t>
  </si>
  <si>
    <t>General Inquiries</t>
  </si>
  <si>
    <t>Minnesota Rovers Outdoors Club</t>
  </si>
  <si>
    <t>info@wildernessinquiry.org</t>
  </si>
  <si>
    <t>Wilderness Inquiry“ K-12 Outdoor Education</t>
  </si>
  <si>
    <t>TeachOutdoorsMinnesota@gmail.com</t>
  </si>
  <si>
    <t>Teach Outdoors Minnesota</t>
  </si>
  <si>
    <t>info@explorationhighschool.org</t>
  </si>
  <si>
    <t>Exploration High School</t>
  </si>
  <si>
    <t>sao@carleton.edu</t>
  </si>
  <si>
    <t>Student Activities Office</t>
  </si>
  <si>
    <t>Carleton College“ Student Activities</t>
  </si>
  <si>
    <t>cgee@hamline.edu</t>
  </si>
  <si>
    <t>CGEE Team</t>
  </si>
  <si>
    <t>Hamline “ Center for Global Environmental Education</t>
  </si>
  <si>
    <t>Campusrec@hamline.edu</t>
  </si>
  <si>
    <t>Recreation Desk</t>
  </si>
  <si>
    <t>Hamline University “ Campus Recreation</t>
  </si>
  <si>
    <t>campuslife@augsburg.edu</t>
  </si>
  <si>
    <t>Campus Life Office</t>
  </si>
  <si>
    <t>Augsburg University“ Campus Life</t>
  </si>
  <si>
    <t>outdoorgearmgr@macalester.edu</t>
  </si>
  <si>
    <t>Outdoor Gear Room Management</t>
  </si>
  <si>
    <t>Macalester College“ Outdoor Gear Room</t>
  </si>
  <si>
    <t>phane006@umn.edu</t>
  </si>
  <si>
    <t>Ben Phaneuf</t>
  </si>
  <si>
    <t>University of Minnesota“ Center for Outdoor Adventure</t>
  </si>
  <si>
    <t>Active Interest</t>
  </si>
  <si>
    <t>herfin3@stolaf.edu</t>
  </si>
  <si>
    <t>Grant Herfindal</t>
  </si>
  <si>
    <t>St. Olaf Recreation Department</t>
  </si>
  <si>
    <t>zoe@climategen.org</t>
  </si>
  <si>
    <t>Zoe Redfern-Hall</t>
  </si>
  <si>
    <t>YEA! MN</t>
  </si>
  <si>
    <t>jasmine.rivera@mpls.k12.mn.us</t>
  </si>
  <si>
    <t>Jasmine Rivera</t>
  </si>
  <si>
    <t>Edison High School“ Beacons Program</t>
  </si>
  <si>
    <t>Partnership Status</t>
  </si>
  <si>
    <t>Amount of Days Last Contacted</t>
  </si>
  <si>
    <t>Readiness Score</t>
  </si>
  <si>
    <t>Current Date</t>
  </si>
  <si>
    <t>Contact Person</t>
  </si>
  <si>
    <t>Partner Name</t>
  </si>
  <si>
    <t>People Assigned</t>
  </si>
  <si>
    <t>% of Cabins Used</t>
  </si>
  <si>
    <t>Scenario</t>
  </si>
  <si>
    <t>Group Size</t>
  </si>
  <si>
    <t>Unaccommodated Guests</t>
  </si>
  <si>
    <t>Cost per Person</t>
  </si>
  <si>
    <t>Small Partnership</t>
  </si>
  <si>
    <t>Medium Partnership</t>
  </si>
  <si>
    <t>Large Partnership</t>
  </si>
  <si>
    <t>Full Capacity Attempt</t>
  </si>
  <si>
    <t>Projected Group Size</t>
  </si>
  <si>
    <t>Total People Assigned</t>
  </si>
  <si>
    <t>Units Available (Linked)</t>
  </si>
  <si>
    <t>Default Units Available (Adjustable)</t>
  </si>
  <si>
    <t>Units Used (0-1)</t>
  </si>
  <si>
    <t>Cell</t>
  </si>
  <si>
    <t>Capacity Error Message</t>
  </si>
  <si>
    <t>Total Avaialble Capacity</t>
  </si>
  <si>
    <t>Beacons High School Program</t>
  </si>
  <si>
    <t>St Olaf Outdoor Recreation Program</t>
  </si>
  <si>
    <t>Scenarios</t>
  </si>
  <si>
    <t>UMN Forestry &amp; SAF</t>
  </si>
  <si>
    <t>YEA MN!</t>
  </si>
  <si>
    <t>📈 Bar Chart
Cabin Utilization by Type</t>
  </si>
  <si>
    <t>🤝 CRM Partner Dashboard</t>
  </si>
  <si>
    <t>Row Labels</t>
  </si>
  <si>
    <t>Grand Total</t>
  </si>
  <si>
    <t>Sum of Capacity</t>
  </si>
  <si>
    <t>Total Capacity</t>
  </si>
  <si>
    <t>Assigned Campers</t>
  </si>
  <si>
    <t>Unaccomodated Guests</t>
  </si>
  <si>
    <t>Sum of Units Used (0-1)</t>
  </si>
  <si>
    <t>Sum of People Assigned</t>
  </si>
  <si>
    <t>Sum of Units Available (Linked)</t>
  </si>
  <si>
    <t>📊 Partner Outreach Dashboard</t>
  </si>
  <si>
    <t>Total Partners</t>
  </si>
  <si>
    <t>Follow-Ups Due</t>
  </si>
  <si>
    <t>Avg. Readiness Score</t>
  </si>
  <si>
    <t>Not Ready</t>
  </si>
  <si>
    <t>Follow Up Due?</t>
  </si>
  <si>
    <t xml:space="preserve">Last Contacted </t>
  </si>
  <si>
    <t>fclub@umn.edu</t>
  </si>
  <si>
    <t>Club Email (General Inquiries)</t>
  </si>
  <si>
    <t>Confirmed</t>
  </si>
  <si>
    <t>North Hennepin Community College</t>
  </si>
  <si>
    <t>UNKNOWN</t>
  </si>
  <si>
    <t>Beyond the Yellow Ribbon</t>
  </si>
  <si>
    <t>Save the Boundaary Waters</t>
  </si>
  <si>
    <t>Bois Forte Band of Chippewa</t>
  </si>
  <si>
    <t xml:space="preserve">🧾 Total Partners
</t>
  </si>
  <si>
    <t xml:space="preserve">✉️ Follow-Ups Due
</t>
  </si>
  <si>
    <t xml:space="preserve">✅ Active Interests
</t>
  </si>
  <si>
    <t xml:space="preserve">🧊 Ghosted Count
</t>
  </si>
  <si>
    <t xml:space="preserve">⭐ Avg. Readiness Score
</t>
  </si>
  <si>
    <t>Selection</t>
  </si>
  <si>
    <t>Current Cabin Usage</t>
  </si>
  <si>
    <t>Sum of Current Cabin Usage</t>
  </si>
  <si>
    <t>Unused Cabins</t>
  </si>
  <si>
    <t>Sum of Unused Cabins</t>
  </si>
  <si>
    <t>🏕️ Cabin Usage Battery Diagram</t>
  </si>
  <si>
    <t>🎯 Solver Guide (No Experience Needed)</t>
  </si>
  <si>
    <t>🧩 Step 1: Turn on Solver</t>
  </si>
  <si>
    <r>
      <t xml:space="preserve">🔹 Go to: </t>
    </r>
    <r>
      <rPr>
        <sz val="10"/>
        <color theme="1"/>
        <rFont val="Arial Unicode MS"/>
      </rPr>
      <t>File</t>
    </r>
    <r>
      <rPr>
        <sz val="11"/>
        <color theme="1"/>
        <rFont val="Calibri"/>
        <family val="2"/>
        <scheme val="minor"/>
      </rPr>
      <t xml:space="preserve"> → </t>
    </r>
    <r>
      <rPr>
        <sz val="10"/>
        <color theme="1"/>
        <rFont val="Arial Unicode MS"/>
      </rPr>
      <t>Options</t>
    </r>
  </si>
  <si>
    <r>
      <t xml:space="preserve">🔹 Click: </t>
    </r>
    <r>
      <rPr>
        <sz val="10"/>
        <color theme="1"/>
        <rFont val="Arial Unicode MS"/>
      </rPr>
      <t>Add-ins</t>
    </r>
  </si>
  <si>
    <r>
      <t xml:space="preserve">🔹 At the bottom next to “Manage Excel Add-ins” click </t>
    </r>
    <r>
      <rPr>
        <sz val="10"/>
        <color theme="1"/>
        <rFont val="Arial Unicode MS"/>
      </rPr>
      <t>Go...</t>
    </r>
  </si>
  <si>
    <r>
      <t xml:space="preserve">🔹 ✅ Check the box for </t>
    </r>
    <r>
      <rPr>
        <sz val="10"/>
        <color theme="1"/>
        <rFont val="Arial Unicode MS"/>
      </rPr>
      <t>Solver Add-in</t>
    </r>
  </si>
  <si>
    <r>
      <t xml:space="preserve">🔹 Click </t>
    </r>
    <r>
      <rPr>
        <sz val="10"/>
        <color theme="1"/>
        <rFont val="Arial Unicode MS"/>
      </rPr>
      <t>OK</t>
    </r>
  </si>
  <si>
    <r>
      <t xml:space="preserve">💡 You’ll now see Solver under the </t>
    </r>
    <r>
      <rPr>
        <b/>
        <sz val="11"/>
        <color theme="1"/>
        <rFont val="Calibri"/>
        <family val="2"/>
        <scheme val="minor"/>
      </rPr>
      <t>Data</t>
    </r>
    <r>
      <rPr>
        <sz val="11"/>
        <color theme="1"/>
        <rFont val="Calibri"/>
        <family val="2"/>
        <scheme val="minor"/>
      </rPr>
      <t xml:space="preserve"> tab.</t>
    </r>
  </si>
  <si>
    <t>📊 Step 2: Type Your Group Size</t>
  </si>
  <si>
    <r>
      <t xml:space="preserve">🔸 Go to cell </t>
    </r>
    <r>
      <rPr>
        <b/>
        <sz val="11"/>
        <color theme="1"/>
        <rFont val="Calibri"/>
        <family val="2"/>
        <scheme val="minor"/>
      </rPr>
      <t>K2</t>
    </r>
  </si>
  <si>
    <r>
      <t xml:space="preserve">🔸 Type how many campers (e.g., </t>
    </r>
    <r>
      <rPr>
        <sz val="10"/>
        <color theme="1"/>
        <rFont val="Arial Unicode MS"/>
      </rPr>
      <t>55</t>
    </r>
    <r>
      <rPr>
        <sz val="11"/>
        <color theme="1"/>
        <rFont val="Calibri"/>
        <family val="2"/>
        <scheme val="minor"/>
      </rPr>
      <t>)</t>
    </r>
  </si>
  <si>
    <t>🤖 Step 3: Open Solver</t>
  </si>
  <si>
    <r>
      <t xml:space="preserve">🔸 Go to </t>
    </r>
    <r>
      <rPr>
        <b/>
        <sz val="11"/>
        <color theme="1"/>
        <rFont val="Calibri"/>
        <family val="2"/>
        <scheme val="minor"/>
      </rPr>
      <t>Data</t>
    </r>
    <r>
      <rPr>
        <sz val="11"/>
        <color theme="1"/>
        <rFont val="Calibri"/>
        <family val="2"/>
        <scheme val="minor"/>
      </rPr>
      <t xml:space="preserve"> tab</t>
    </r>
  </si>
  <si>
    <r>
      <t xml:space="preserve">🔸 Click </t>
    </r>
    <r>
      <rPr>
        <b/>
        <sz val="11"/>
        <color theme="1"/>
        <rFont val="Calibri"/>
        <family val="2"/>
        <scheme val="minor"/>
      </rPr>
      <t>Solver</t>
    </r>
    <r>
      <rPr>
        <sz val="11"/>
        <color theme="1"/>
        <rFont val="Calibri"/>
        <family val="2"/>
        <scheme val="minor"/>
      </rPr>
      <t xml:space="preserve"> (far right side of toolbar)</t>
    </r>
  </si>
  <si>
    <t>⚙️ Step 4: Set Solver Settings</t>
  </si>
  <si>
    <t>Field</t>
  </si>
  <si>
    <t>Value</t>
  </si>
  <si>
    <t>Set Objective</t>
  </si>
  <si>
    <t>B15</t>
  </si>
  <si>
    <t>To:</t>
  </si>
  <si>
    <t>Max</t>
  </si>
  <si>
    <t>By Changing Cells</t>
  </si>
  <si>
    <t>F2:F11</t>
  </si>
  <si>
    <t>➕ Step 5: Add Constraints</t>
  </si>
  <si>
    <r>
      <t xml:space="preserve">Click </t>
    </r>
    <r>
      <rPr>
        <b/>
        <sz val="11"/>
        <color theme="1"/>
        <rFont val="Calibri"/>
        <family val="2"/>
        <scheme val="minor"/>
      </rPr>
      <t>Add</t>
    </r>
    <r>
      <rPr>
        <sz val="11"/>
        <color theme="1"/>
        <rFont val="Calibri"/>
        <family val="2"/>
        <scheme val="minor"/>
      </rPr>
      <t xml:space="preserve"> for each of the following:</t>
    </r>
  </si>
  <si>
    <t>Constraint</t>
  </si>
  <si>
    <t>Why?</t>
  </si>
  <si>
    <t>B14</t>
  </si>
  <si>
    <t>&lt;= K2</t>
  </si>
  <si>
    <t>Don’t assign more campers than we have</t>
  </si>
  <si>
    <t>&gt;= 0</t>
  </si>
  <si>
    <t>No negative cabin assignments</t>
  </si>
  <si>
    <t>&lt;= E2:E11</t>
  </si>
  <si>
    <t>Stay within available cabins</t>
  </si>
  <si>
    <t>&lt;= 1</t>
  </si>
  <si>
    <t>Use only one of each cabin (optional)</t>
  </si>
  <si>
    <r>
      <t xml:space="preserve">After adding them all, click </t>
    </r>
    <r>
      <rPr>
        <b/>
        <sz val="11"/>
        <color theme="1"/>
        <rFont val="Calibri"/>
        <family val="2"/>
        <scheme val="minor"/>
      </rPr>
      <t>OK</t>
    </r>
    <r>
      <rPr>
        <sz val="11"/>
        <color theme="1"/>
        <rFont val="Calibri"/>
        <family val="2"/>
        <scheme val="minor"/>
      </rPr>
      <t>.</t>
    </r>
  </si>
  <si>
    <t>✅ Step 6: Click Solve</t>
  </si>
  <si>
    <r>
      <t xml:space="preserve">🔸 Click </t>
    </r>
    <r>
      <rPr>
        <b/>
        <sz val="11"/>
        <color theme="1"/>
        <rFont val="Calibri"/>
        <family val="2"/>
        <scheme val="minor"/>
      </rPr>
      <t>Solve</t>
    </r>
  </si>
  <si>
    <t>🔸 When Solver finishes, choose:</t>
  </si>
  <si>
    <r>
      <t xml:space="preserve">✅ </t>
    </r>
    <r>
      <rPr>
        <b/>
        <sz val="11"/>
        <color theme="1"/>
        <rFont val="Calibri"/>
        <family val="2"/>
        <scheme val="minor"/>
      </rPr>
      <t>Keep Solver Solution</t>
    </r>
    <r>
      <rPr>
        <sz val="11"/>
        <color theme="1"/>
        <rFont val="Calibri"/>
        <family val="2"/>
        <scheme val="minor"/>
      </rPr>
      <t xml:space="preserve"> → then click OK</t>
    </r>
  </si>
  <si>
    <t>👀 What to Look At:</t>
  </si>
  <si>
    <r>
      <t>F2:F11</t>
    </r>
    <r>
      <rPr>
        <sz val="11"/>
        <color theme="1"/>
        <rFont val="Calibri"/>
        <family val="2"/>
        <scheme val="minor"/>
      </rPr>
      <t>: What cabins were used</t>
    </r>
  </si>
  <si>
    <r>
      <t>G2:G11</t>
    </r>
    <r>
      <rPr>
        <sz val="11"/>
        <color theme="1"/>
        <rFont val="Calibri"/>
        <family val="2"/>
        <scheme val="minor"/>
      </rPr>
      <t>: How many people assigned to each</t>
    </r>
  </si>
  <si>
    <r>
      <t>H2:H11</t>
    </r>
    <r>
      <rPr>
        <sz val="11"/>
        <color theme="1"/>
        <rFont val="Calibri"/>
        <family val="2"/>
        <scheme val="minor"/>
      </rPr>
      <t>: Revenue from each</t>
    </r>
  </si>
  <si>
    <r>
      <t>B14</t>
    </r>
    <r>
      <rPr>
        <sz val="11"/>
        <color theme="1"/>
        <rFont val="Calibri"/>
        <family val="2"/>
        <scheme val="minor"/>
      </rPr>
      <t>: Total people placed</t>
    </r>
  </si>
  <si>
    <r>
      <t>B15</t>
    </r>
    <r>
      <rPr>
        <sz val="11"/>
        <color theme="1"/>
        <rFont val="Calibri"/>
        <family val="2"/>
        <scheme val="minor"/>
      </rPr>
      <t>: Total revenue</t>
    </r>
  </si>
  <si>
    <t>🔁 Step 7: Try Again</t>
  </si>
  <si>
    <r>
      <t xml:space="preserve">1. Change </t>
    </r>
    <r>
      <rPr>
        <sz val="10"/>
        <color theme="1"/>
        <rFont val="Arial Unicode MS"/>
      </rPr>
      <t>K2</t>
    </r>
    <r>
      <rPr>
        <sz val="11"/>
        <color theme="1"/>
        <rFont val="Calibri"/>
        <family val="2"/>
        <scheme val="minor"/>
      </rPr>
      <t xml:space="preserve"> to a new group size</t>
    </r>
  </si>
  <si>
    <t>2. Open Solver again</t>
  </si>
  <si>
    <r>
      <t xml:space="preserve">3. Click </t>
    </r>
    <r>
      <rPr>
        <b/>
        <sz val="11"/>
        <color theme="1"/>
        <rFont val="Calibri"/>
        <family val="2"/>
        <scheme val="minor"/>
      </rPr>
      <t>Solve</t>
    </r>
  </si>
  <si>
    <t>Excel will redo the optimization!</t>
  </si>
  <si>
    <t>🛠 Troubleshooting</t>
  </si>
  <si>
    <t>Problem</t>
  </si>
  <si>
    <t>Fix</t>
  </si>
  <si>
    <t>Solver isn’t showing up</t>
  </si>
  <si>
    <t>Redo Step 1 — make sure it’s enabled</t>
  </si>
  <si>
    <t>Solver doesn’t change anything</t>
  </si>
  <si>
    <r>
      <t xml:space="preserve">Check </t>
    </r>
    <r>
      <rPr>
        <sz val="10"/>
        <color theme="1"/>
        <rFont val="Arial Unicode MS"/>
      </rPr>
      <t>F2:F11</t>
    </r>
    <r>
      <rPr>
        <sz val="11"/>
        <color theme="1"/>
        <rFont val="Calibri"/>
        <family val="2"/>
        <scheme val="minor"/>
      </rPr>
      <t xml:space="preserve"> isn’t locked or has formulas</t>
    </r>
  </si>
  <si>
    <t>Results don’t update</t>
  </si>
  <si>
    <r>
      <t xml:space="preserve">Check that formulas in </t>
    </r>
    <r>
      <rPr>
        <sz val="10"/>
        <color theme="1"/>
        <rFont val="Arial Unicode MS"/>
      </rPr>
      <t>G</t>
    </r>
    <r>
      <rPr>
        <sz val="11"/>
        <color theme="1"/>
        <rFont val="Calibri"/>
        <family val="2"/>
        <scheme val="minor"/>
      </rPr>
      <t xml:space="preserve"> and </t>
    </r>
    <r>
      <rPr>
        <sz val="10"/>
        <color theme="1"/>
        <rFont val="Arial Unicode MS"/>
      </rPr>
      <t>H</t>
    </r>
    <r>
      <rPr>
        <sz val="11"/>
        <color theme="1"/>
        <rFont val="Calibri"/>
        <family val="2"/>
        <scheme val="minor"/>
      </rPr>
      <t xml:space="preserve"> are working</t>
    </r>
  </si>
  <si>
    <t>“No solution” message</t>
  </si>
  <si>
    <r>
      <t xml:space="preserve">Try lowering </t>
    </r>
    <r>
      <rPr>
        <sz val="10"/>
        <color theme="1"/>
        <rFont val="Arial Unicode MS"/>
      </rPr>
      <t>K2</t>
    </r>
    <r>
      <rPr>
        <sz val="11"/>
        <color theme="1"/>
        <rFont val="Calibri"/>
        <family val="2"/>
        <scheme val="minor"/>
      </rPr>
      <t xml:space="preserve">, or remove </t>
    </r>
    <r>
      <rPr>
        <sz val="10"/>
        <color theme="1"/>
        <rFont val="Arial Unicode MS"/>
      </rPr>
      <t>&lt;= 1</t>
    </r>
    <r>
      <rPr>
        <sz val="11"/>
        <color theme="1"/>
        <rFont val="Calibri"/>
        <family val="2"/>
        <scheme val="minor"/>
      </rPr>
      <t xml:space="preserve"> constraint</t>
    </r>
  </si>
  <si>
    <t>📊 Pie Chart
Total % of Campers Assigned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</si>
</sst>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(&quot;$&quot;* #,##0.00_);_(&quot;$&quot;* \(#,##0.00\);_(&quot;$&quot;* &quot;-&quot;??_);_(@_)"/>
    <numFmt numFmtId="164" formatCode="_(&quot;$&quot;* #,##0_);_(&quot;$&quot;* \(#,##0\);_(&quot;$&quot;* &quot;-&quot;??_);_(@_)"/>
    <numFmt numFmtId="165" formatCode="0.0"/>
    <numFmt numFmtId="166" formatCode="[$-F800]dddd\,\ mmmm\ dd\,\ yyyy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11"/>
      <color rgb="FF202020"/>
      <name val="Calibri"/>
      <family val="2"/>
    </font>
    <font>
      <b/>
      <sz val="12"/>
      <color rgb="FF9AC8EA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b/>
      <sz val="16"/>
      <name val="Calibri"/>
      <family val="2"/>
    </font>
    <font>
      <b/>
      <sz val="11"/>
      <name val="Calibri"/>
      <family val="2"/>
    </font>
    <font>
      <sz val="11"/>
      <name val="Calibri"/>
      <family val="2"/>
    </font>
    <font>
      <b/>
      <sz val="20"/>
      <color rgb="FF9AC8EA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13.5"/>
      <color theme="1"/>
      <name val="Calibri"/>
      <family val="2"/>
      <scheme val="minor"/>
    </font>
    <font>
      <sz val="10"/>
      <color theme="1"/>
      <name val="Arial Unicode MS"/>
    </font>
    <font>
      <b/>
      <sz val="18"/>
      <color rgb="FF202020"/>
      <name val="Calibri"/>
      <family val="2"/>
    </font>
    <font>
      <sz val="18"/>
      <color theme="1"/>
      <name val="Calibri"/>
      <family val="2"/>
      <scheme val="minor"/>
    </font>
    <font>
      <b/>
      <sz val="18"/>
      <color rgb="FF9AC8EA"/>
      <name val="Calibri"/>
      <family val="2"/>
      <scheme val="minor"/>
    </font>
    <font>
      <b/>
      <sz val="30"/>
      <color rgb="FF202020"/>
      <name val="Calibri"/>
      <family val="2"/>
    </font>
  </fonts>
  <fills count="2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E6F2F2"/>
        <bgColor rgb="FFE6F2F2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0.39997558519241921"/>
        <bgColor rgb="FFF1F1F1"/>
      </patternFill>
    </fill>
    <fill>
      <patternFill patternType="solid">
        <fgColor theme="8" tint="0.59999389629810485"/>
        <bgColor rgb="FFA5D8DD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E8F8F5"/>
        <bgColor rgb="FFE8F8F5"/>
      </patternFill>
    </fill>
    <fill>
      <patternFill patternType="solid">
        <fgColor rgb="FFD6EAF8"/>
        <bgColor rgb="FFD6EAF8"/>
      </patternFill>
    </fill>
    <fill>
      <patternFill patternType="solid">
        <fgColor theme="6" tint="0.59999389629810485"/>
        <bgColor rgb="FFE8F8F5"/>
      </patternFill>
    </fill>
    <fill>
      <patternFill patternType="solid">
        <fgColor rgb="FFE8F6F3"/>
        <bgColor rgb="FFE8F6F3"/>
      </patternFill>
    </fill>
    <fill>
      <patternFill patternType="solid">
        <fgColor rgb="FFFADBD8"/>
        <bgColor rgb="FFFADBD8"/>
      </patternFill>
    </fill>
    <fill>
      <patternFill patternType="solid">
        <fgColor rgb="FFD5F5E3"/>
        <bgColor rgb="FFD5F5E3"/>
      </patternFill>
    </fill>
    <fill>
      <patternFill patternType="solid">
        <fgColor rgb="FFEBEDEF"/>
        <bgColor rgb="FFEBEDEF"/>
      </patternFill>
    </fill>
    <fill>
      <patternFill patternType="solid">
        <fgColor rgb="FFFCF3CF"/>
        <bgColor rgb="FFFCF3CF"/>
      </patternFill>
    </fill>
    <fill>
      <patternFill patternType="solid">
        <fgColor theme="0"/>
        <bgColor theme="4" tint="0.79998168889431442"/>
      </patternFill>
    </fill>
    <fill>
      <patternFill patternType="solid">
        <fgColor theme="0"/>
        <bgColor rgb="FFD6EAF8"/>
      </patternFill>
    </fill>
    <fill>
      <patternFill patternType="solid">
        <fgColor theme="2" tint="-9.9978637043366805E-2"/>
        <bgColor rgb="FFD6EAF8"/>
      </patternFill>
    </fill>
    <fill>
      <patternFill patternType="solid">
        <fgColor theme="0"/>
        <bgColor rgb="FFF1F1F1"/>
      </patternFill>
    </fill>
    <fill>
      <patternFill patternType="solid">
        <fgColor theme="5" tint="0.79998168889431442"/>
        <bgColor rgb="FFF1F1F1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rgb="FFAAAAAA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/>
      <right/>
      <top style="thick">
        <color theme="0"/>
      </top>
      <bottom/>
      <diagonal/>
    </border>
    <border>
      <left style="thin">
        <color theme="0"/>
      </left>
      <right/>
      <top style="thick">
        <color theme="0"/>
      </top>
      <bottom/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/>
      <top style="thin">
        <color theme="4" tint="0.39997558519241921"/>
      </top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</borders>
  <cellStyleXfs count="3">
    <xf numFmtId="0" fontId="0" fillId="0" borderId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97">
    <xf numFmtId="0" fontId="0" fillId="0" borderId="0" xfId="0"/>
    <xf numFmtId="0" fontId="1" fillId="0" borderId="0" xfId="0" applyFont="1"/>
    <xf numFmtId="0" fontId="1" fillId="3" borderId="2" xfId="0" applyFont="1" applyFill="1" applyBorder="1"/>
    <xf numFmtId="0" fontId="0" fillId="4" borderId="0" xfId="0" applyFill="1"/>
    <xf numFmtId="0" fontId="0" fillId="3" borderId="1" xfId="0" applyFill="1" applyBorder="1"/>
    <xf numFmtId="0" fontId="0" fillId="0" borderId="1" xfId="0" applyBorder="1"/>
    <xf numFmtId="164" fontId="0" fillId="0" borderId="1" xfId="1" applyNumberFormat="1" applyFont="1" applyBorder="1"/>
    <xf numFmtId="164" fontId="0" fillId="0" borderId="0" xfId="1" applyNumberFormat="1" applyFont="1"/>
    <xf numFmtId="0" fontId="0" fillId="0" borderId="0" xfId="2" applyNumberFormat="1" applyFont="1"/>
    <xf numFmtId="9" fontId="0" fillId="0" borderId="1" xfId="2" applyFont="1" applyBorder="1"/>
    <xf numFmtId="0" fontId="1" fillId="5" borderId="3" xfId="0" applyFont="1" applyFill="1" applyBorder="1"/>
    <xf numFmtId="0" fontId="1" fillId="5" borderId="2" xfId="0" applyFont="1" applyFill="1" applyBorder="1"/>
    <xf numFmtId="164" fontId="0" fillId="0" borderId="0" xfId="1" quotePrefix="1" applyNumberFormat="1" applyFont="1"/>
    <xf numFmtId="165" fontId="0" fillId="0" borderId="0" xfId="0" applyNumberFormat="1"/>
    <xf numFmtId="0" fontId="3" fillId="0" borderId="0" xfId="0" applyFont="1"/>
    <xf numFmtId="0" fontId="4" fillId="0" borderId="0" xfId="0" applyFont="1"/>
    <xf numFmtId="0" fontId="5" fillId="6" borderId="0" xfId="0" applyFont="1" applyFill="1" applyAlignment="1">
      <alignment horizontal="center" vertical="center" wrapText="1"/>
    </xf>
    <xf numFmtId="0" fontId="0" fillId="7" borderId="0" xfId="0" applyFill="1"/>
    <xf numFmtId="0" fontId="0" fillId="2" borderId="0" xfId="0" applyFill="1"/>
    <xf numFmtId="0" fontId="6" fillId="7" borderId="0" xfId="0" applyFont="1" applyFill="1" applyAlignment="1">
      <alignment horizontal="center" vertical="center"/>
    </xf>
    <xf numFmtId="0" fontId="0" fillId="11" borderId="0" xfId="0" applyFill="1"/>
    <xf numFmtId="0" fontId="0" fillId="0" borderId="0" xfId="0" pivotButton="1"/>
    <xf numFmtId="0" fontId="0" fillId="0" borderId="0" xfId="0" applyAlignment="1">
      <alignment horizontal="left"/>
    </xf>
    <xf numFmtId="0" fontId="7" fillId="7" borderId="0" xfId="0" applyFont="1" applyFill="1"/>
    <xf numFmtId="0" fontId="7" fillId="2" borderId="0" xfId="0" applyFont="1" applyFill="1"/>
    <xf numFmtId="0" fontId="0" fillId="12" borderId="0" xfId="0" applyFill="1" applyAlignment="1">
      <alignment horizontal="center" vertical="center"/>
    </xf>
    <xf numFmtId="166" fontId="0" fillId="14" borderId="0" xfId="0" applyNumberFormat="1" applyFill="1" applyAlignment="1">
      <alignment horizontal="center" vertical="center"/>
    </xf>
    <xf numFmtId="0" fontId="10" fillId="14" borderId="0" xfId="0" applyFont="1" applyFill="1" applyAlignment="1">
      <alignment horizontal="left" vertical="top"/>
    </xf>
    <xf numFmtId="0" fontId="10" fillId="12" borderId="0" xfId="0" applyFont="1" applyFill="1" applyAlignment="1">
      <alignment horizontal="left" vertical="top"/>
    </xf>
    <xf numFmtId="0" fontId="0" fillId="0" borderId="0" xfId="0" applyAlignment="1">
      <alignment vertical="center" wrapText="1"/>
    </xf>
    <xf numFmtId="0" fontId="10" fillId="13" borderId="0" xfId="0" applyFont="1" applyFill="1" applyAlignment="1">
      <alignment horizontal="center"/>
    </xf>
    <xf numFmtId="0" fontId="10" fillId="13" borderId="6" xfId="0" applyFont="1" applyFill="1" applyBorder="1" applyAlignment="1">
      <alignment horizontal="center"/>
    </xf>
    <xf numFmtId="0" fontId="11" fillId="21" borderId="7" xfId="0" applyFont="1" applyFill="1" applyBorder="1" applyAlignment="1">
      <alignment horizontal="left" vertical="center"/>
    </xf>
    <xf numFmtId="0" fontId="10" fillId="22" borderId="8" xfId="0" applyFont="1" applyFill="1" applyBorder="1" applyAlignment="1">
      <alignment horizontal="center"/>
    </xf>
    <xf numFmtId="0" fontId="10" fillId="21" borderId="8" xfId="0" applyFont="1" applyFill="1" applyBorder="1" applyAlignment="1">
      <alignment horizontal="center"/>
    </xf>
    <xf numFmtId="0" fontId="10" fillId="2" borderId="8" xfId="0" applyFont="1" applyFill="1" applyBorder="1" applyAlignment="1">
      <alignment horizontal="center"/>
    </xf>
    <xf numFmtId="0" fontId="11" fillId="21" borderId="9" xfId="0" applyFont="1" applyFill="1" applyBorder="1" applyAlignment="1">
      <alignment horizontal="left" vertical="center"/>
    </xf>
    <xf numFmtId="0" fontId="10" fillId="22" borderId="5" xfId="0" applyFont="1" applyFill="1" applyBorder="1" applyAlignment="1">
      <alignment horizontal="center"/>
    </xf>
    <xf numFmtId="0" fontId="10" fillId="21" borderId="5" xfId="0" applyFont="1" applyFill="1" applyBorder="1" applyAlignment="1">
      <alignment horizontal="center"/>
    </xf>
    <xf numFmtId="0" fontId="10" fillId="2" borderId="5" xfId="0" applyFont="1" applyFill="1" applyBorder="1" applyAlignment="1">
      <alignment horizontal="center"/>
    </xf>
    <xf numFmtId="0" fontId="0" fillId="2" borderId="9" xfId="0" applyFill="1" applyBorder="1" applyAlignment="1">
      <alignment horizontal="left" vertical="center"/>
    </xf>
    <xf numFmtId="0" fontId="0" fillId="2" borderId="5" xfId="0" applyFill="1" applyBorder="1"/>
    <xf numFmtId="14" fontId="0" fillId="2" borderId="5" xfId="0" applyNumberFormat="1" applyFill="1" applyBorder="1"/>
    <xf numFmtId="0" fontId="0" fillId="0" borderId="1" xfId="0" applyBorder="1" applyAlignment="1">
      <alignment vertical="center" wrapText="1"/>
    </xf>
    <xf numFmtId="0" fontId="3" fillId="7" borderId="0" xfId="0" applyFont="1" applyFill="1"/>
    <xf numFmtId="0" fontId="0" fillId="0" borderId="1" xfId="0" applyBorder="1" applyAlignment="1">
      <alignment horizontal="center" vertical="center" wrapText="1"/>
    </xf>
    <xf numFmtId="0" fontId="0" fillId="2" borderId="5" xfId="0" applyFill="1" applyBorder="1" applyAlignment="1">
      <alignment horizontal="center" vertical="center"/>
    </xf>
    <xf numFmtId="0" fontId="10" fillId="13" borderId="6" xfId="0" applyFont="1" applyFill="1" applyBorder="1" applyAlignment="1">
      <alignment horizontal="center" vertical="center"/>
    </xf>
    <xf numFmtId="0" fontId="10" fillId="21" borderId="8" xfId="0" applyFont="1" applyFill="1" applyBorder="1" applyAlignment="1">
      <alignment horizontal="center" vertical="center"/>
    </xf>
    <xf numFmtId="0" fontId="10" fillId="21" borderId="5" xfId="0" applyFont="1" applyFill="1" applyBorder="1" applyAlignment="1">
      <alignment horizontal="center" vertical="center"/>
    </xf>
    <xf numFmtId="0" fontId="1" fillId="20" borderId="10" xfId="0" applyFont="1" applyFill="1" applyBorder="1" applyAlignment="1">
      <alignment horizontal="center" vertical="center"/>
    </xf>
    <xf numFmtId="0" fontId="1" fillId="2" borderId="10" xfId="0" applyFont="1" applyFill="1" applyBorder="1" applyAlignment="1">
      <alignment horizontal="center" vertical="center"/>
    </xf>
    <xf numFmtId="0" fontId="1" fillId="2" borderId="5" xfId="0" applyFont="1" applyFill="1" applyBorder="1" applyAlignment="1">
      <alignment horizontal="center" vertical="center"/>
    </xf>
    <xf numFmtId="1" fontId="1" fillId="2" borderId="5" xfId="0" applyNumberFormat="1" applyFont="1" applyFill="1" applyBorder="1" applyAlignment="1">
      <alignment horizontal="center" vertical="center"/>
    </xf>
    <xf numFmtId="0" fontId="10" fillId="13" borderId="11" xfId="0" applyFont="1" applyFill="1" applyBorder="1" applyAlignment="1">
      <alignment horizontal="center"/>
    </xf>
    <xf numFmtId="0" fontId="10" fillId="13" borderId="12" xfId="0" applyFont="1" applyFill="1" applyBorder="1" applyAlignment="1">
      <alignment horizontal="center"/>
    </xf>
    <xf numFmtId="0" fontId="0" fillId="0" borderId="1" xfId="0" applyBorder="1" applyAlignment="1">
      <alignment horizontal="center" vertical="center"/>
    </xf>
    <xf numFmtId="1" fontId="0" fillId="4" borderId="0" xfId="0" applyNumberFormat="1" applyFill="1"/>
    <xf numFmtId="0" fontId="5" fillId="23" borderId="0" xfId="0" applyFont="1" applyFill="1" applyAlignment="1">
      <alignment vertical="center" wrapText="1"/>
    </xf>
    <xf numFmtId="9" fontId="0" fillId="0" borderId="0" xfId="0" applyNumberFormat="1"/>
    <xf numFmtId="9" fontId="12" fillId="2" borderId="0" xfId="2" applyFont="1" applyFill="1" applyAlignment="1">
      <alignment vertical="center"/>
    </xf>
    <xf numFmtId="0" fontId="1" fillId="26" borderId="0" xfId="0" applyFont="1" applyFill="1" applyAlignment="1">
      <alignment vertical="center"/>
    </xf>
    <xf numFmtId="0" fontId="1" fillId="25" borderId="0" xfId="0" applyFont="1" applyFill="1" applyAlignment="1">
      <alignment vertical="center"/>
    </xf>
    <xf numFmtId="0" fontId="13" fillId="0" borderId="0" xfId="0" applyFont="1" applyAlignment="1">
      <alignment vertical="center"/>
    </xf>
    <xf numFmtId="0" fontId="14" fillId="0" borderId="0" xfId="0" applyFont="1" applyAlignment="1">
      <alignment vertical="center"/>
    </xf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horizontal="left" vertical="center" indent="1"/>
    </xf>
    <xf numFmtId="0" fontId="15" fillId="0" borderId="0" xfId="0" applyFont="1" applyAlignment="1">
      <alignment horizontal="left" vertical="center" indent="1"/>
    </xf>
    <xf numFmtId="0" fontId="1" fillId="0" borderId="1" xfId="0" applyFont="1" applyBorder="1" applyAlignment="1">
      <alignment horizontal="center" vertical="center" wrapText="1"/>
    </xf>
    <xf numFmtId="0" fontId="15" fillId="0" borderId="1" xfId="0" applyFont="1" applyBorder="1" applyAlignment="1">
      <alignment vertical="center" wrapText="1"/>
    </xf>
    <xf numFmtId="0" fontId="1" fillId="0" borderId="1" xfId="0" applyFont="1" applyBorder="1" applyAlignment="1">
      <alignment vertical="center" wrapText="1"/>
    </xf>
    <xf numFmtId="0" fontId="5" fillId="10" borderId="0" xfId="0" applyFont="1" applyFill="1" applyAlignment="1">
      <alignment vertical="center" wrapText="1"/>
    </xf>
    <xf numFmtId="0" fontId="19" fillId="10" borderId="0" xfId="0" applyFont="1" applyFill="1" applyAlignment="1">
      <alignment vertical="center" wrapText="1"/>
    </xf>
    <xf numFmtId="0" fontId="19" fillId="6" borderId="0" xfId="0" applyFont="1" applyFill="1" applyAlignment="1">
      <alignment vertical="center" wrapText="1"/>
    </xf>
    <xf numFmtId="0" fontId="5" fillId="6" borderId="0" xfId="0" applyFont="1" applyFill="1" applyAlignment="1">
      <alignment vertical="center" wrapText="1"/>
    </xf>
    <xf numFmtId="0" fontId="19" fillId="6" borderId="0" xfId="0" applyFont="1" applyFill="1" applyAlignment="1">
      <alignment horizontal="center" vertical="center" wrapText="1"/>
    </xf>
    <xf numFmtId="0" fontId="16" fillId="24" borderId="0" xfId="0" applyFont="1" applyFill="1" applyAlignment="1">
      <alignment horizontal="center" vertical="center" wrapText="1"/>
    </xf>
    <xf numFmtId="164" fontId="18" fillId="2" borderId="0" xfId="1" applyNumberFormat="1" applyFont="1" applyFill="1" applyAlignment="1">
      <alignment horizontal="center" vertical="center"/>
    </xf>
    <xf numFmtId="0" fontId="12" fillId="2" borderId="0" xfId="0" applyFont="1" applyFill="1" applyAlignment="1">
      <alignment horizontal="center" vertical="center"/>
    </xf>
    <xf numFmtId="0" fontId="10" fillId="15" borderId="4" xfId="0" applyFont="1" applyFill="1" applyBorder="1" applyAlignment="1">
      <alignment horizontal="center" vertical="center" wrapText="1"/>
    </xf>
    <xf numFmtId="0" fontId="10" fillId="15" borderId="0" xfId="0" applyFont="1" applyFill="1" applyAlignment="1">
      <alignment horizontal="center" vertical="center" wrapText="1"/>
    </xf>
    <xf numFmtId="0" fontId="10" fillId="16" borderId="4" xfId="0" applyFont="1" applyFill="1" applyBorder="1" applyAlignment="1">
      <alignment horizontal="center" vertical="center" wrapText="1"/>
    </xf>
    <xf numFmtId="0" fontId="10" fillId="16" borderId="0" xfId="0" applyFont="1" applyFill="1" applyAlignment="1">
      <alignment horizontal="center" vertical="center" wrapText="1"/>
    </xf>
    <xf numFmtId="0" fontId="10" fillId="17" borderId="4" xfId="0" applyFont="1" applyFill="1" applyBorder="1" applyAlignment="1">
      <alignment horizontal="center" vertical="center" wrapText="1"/>
    </xf>
    <xf numFmtId="0" fontId="10" fillId="17" borderId="0" xfId="0" applyFont="1" applyFill="1" applyAlignment="1">
      <alignment horizontal="center" vertical="center" wrapText="1"/>
    </xf>
    <xf numFmtId="0" fontId="10" fillId="18" borderId="4" xfId="0" applyFont="1" applyFill="1" applyBorder="1" applyAlignment="1">
      <alignment horizontal="center" vertical="center" wrapText="1"/>
    </xf>
    <xf numFmtId="0" fontId="10" fillId="18" borderId="0" xfId="0" applyFont="1" applyFill="1" applyAlignment="1">
      <alignment horizontal="center" vertical="center" wrapText="1"/>
    </xf>
    <xf numFmtId="0" fontId="10" fillId="19" borderId="4" xfId="0" applyFont="1" applyFill="1" applyBorder="1" applyAlignment="1">
      <alignment horizontal="center" vertical="center" wrapText="1"/>
    </xf>
    <xf numFmtId="0" fontId="10" fillId="19" borderId="0" xfId="0" applyFont="1" applyFill="1" applyAlignment="1">
      <alignment horizontal="center" vertical="center" wrapText="1"/>
    </xf>
    <xf numFmtId="0" fontId="16" fillId="9" borderId="0" xfId="0" applyFont="1" applyFill="1" applyAlignment="1">
      <alignment horizontal="center" vertical="center" wrapText="1"/>
    </xf>
    <xf numFmtId="0" fontId="17" fillId="8" borderId="0" xfId="0" applyFont="1" applyFill="1"/>
    <xf numFmtId="0" fontId="18" fillId="2" borderId="0" xfId="0" applyFont="1" applyFill="1" applyAlignment="1">
      <alignment horizontal="center" vertical="center"/>
    </xf>
    <xf numFmtId="1" fontId="18" fillId="2" borderId="0" xfId="0" applyNumberFormat="1" applyFont="1" applyFill="1" applyAlignment="1">
      <alignment horizontal="center" vertical="center"/>
    </xf>
    <xf numFmtId="0" fontId="19" fillId="10" borderId="0" xfId="0" applyFont="1" applyFill="1" applyAlignment="1">
      <alignment horizontal="center" vertical="center" wrapText="1"/>
    </xf>
    <xf numFmtId="0" fontId="9" fillId="0" borderId="0" xfId="0" applyFont="1" applyAlignment="1">
      <alignment horizontal="center"/>
    </xf>
    <xf numFmtId="0" fontId="0" fillId="0" borderId="0" xfId="0"/>
    <xf numFmtId="0" fontId="0" fillId="0" borderId="0" xfId="0" applyNumberFormat="1"/>
  </cellXfs>
  <cellStyles count="3">
    <cellStyle name="Currency" xfId="1" builtinId="4"/>
    <cellStyle name="Normal" xfId="0" builtinId="0"/>
    <cellStyle name="Percent" xfId="2" builtinId="5"/>
  </cellStyles>
  <dxfs count="2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>
        <left style="thin">
          <color theme="0"/>
        </left>
        <right/>
        <top style="thin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/>
        <right/>
        <top style="thin">
          <color theme="0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0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/>
        <right style="thin">
          <color theme="0"/>
        </right>
        <top style="thin">
          <color theme="0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fill>
        <patternFill patternType="solid">
          <fgColor indexed="64"/>
          <bgColor theme="0"/>
        </patternFill>
      </fill>
      <border diagonalUp="0" diagonalDown="0" outline="0">
        <left style="thin">
          <color theme="0"/>
        </left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theme="0"/>
        </left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>
        <left style="thin">
          <color theme="0"/>
        </left>
        <right/>
        <top style="thin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solid">
          <fgColor rgb="FFD6EAF8"/>
          <bgColor rgb="FFD6EAF8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9" tint="0.59996337778862885"/>
        </patternFill>
      </fill>
    </dxf>
    <dxf>
      <fill>
        <patternFill>
          <bgColor theme="6" tint="-0.24994659260841701"/>
        </patternFill>
      </fill>
    </dxf>
    <dxf>
      <fill>
        <patternFill>
          <bgColor rgb="FF00B05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8" tint="0.39994506668294322"/>
        </patternFill>
      </fill>
    </dxf>
    <dxf>
      <fill>
        <patternFill>
          <bgColor theme="2" tint="-9.9948118533890809E-2"/>
        </patternFill>
      </fill>
    </dxf>
    <dxf>
      <font>
        <color rgb="FF9C5700"/>
      </font>
      <fill>
        <patternFill>
          <bgColor rgb="FFFFEB9C"/>
        </patternFill>
      </fill>
    </dxf>
  </dxfs>
  <tableStyles count="0" defaultTableStyle="TableStyleMedium9" defaultPivotStyle="PivotStyleLight16"/>
  <colors>
    <mruColors>
      <color rgb="FF82E0AA"/>
      <color rgb="FFF1948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[Camp YMCA Hub (Homebase).xlsm]Pivot Tables - Visuals!PivotTable4</c:name>
    <c:fmtId val="3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'Pivot Tables - Visuals'!$B$3</c:f>
              <c:strCache>
                <c:ptCount val="1"/>
                <c:pt idx="0">
                  <c:v>Sum of People Assigned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'Pivot Tables - Visuals'!$A$4:$A$14</c:f>
              <c:strCache>
                <c:ptCount val="10"/>
                <c:pt idx="0">
                  <c:v>Aquila</c:v>
                </c:pt>
                <c:pt idx="1">
                  <c:v>Callisto</c:v>
                </c:pt>
                <c:pt idx="2">
                  <c:v>Cassiopeia</c:v>
                </c:pt>
                <c:pt idx="3">
                  <c:v>Cedar</c:v>
                </c:pt>
                <c:pt idx="4">
                  <c:v>Fir</c:v>
                </c:pt>
                <c:pt idx="5">
                  <c:v>Jack Pine</c:v>
                </c:pt>
                <c:pt idx="6">
                  <c:v>Lyra</c:v>
                </c:pt>
                <c:pt idx="7">
                  <c:v>Polaris</c:v>
                </c:pt>
                <c:pt idx="8">
                  <c:v>Red Pine</c:v>
                </c:pt>
                <c:pt idx="9">
                  <c:v>Revontulet</c:v>
                </c:pt>
              </c:strCache>
            </c:strRef>
          </c:cat>
          <c:val>
            <c:numRef>
              <c:f>'Pivot Tables - Visuals'!$B$4:$B$14</c:f>
              <c:numCache>
                <c:formatCode>General</c:formatCode>
                <c:ptCount val="10"/>
                <c:pt idx="0">
                  <c:v>4</c:v>
                </c:pt>
                <c:pt idx="1">
                  <c:v>11</c:v>
                </c:pt>
                <c:pt idx="2">
                  <c:v>0</c:v>
                </c:pt>
                <c:pt idx="3">
                  <c:v>2</c:v>
                </c:pt>
                <c:pt idx="4">
                  <c:v>4</c:v>
                </c:pt>
                <c:pt idx="5">
                  <c:v>4</c:v>
                </c:pt>
                <c:pt idx="6">
                  <c:v>2</c:v>
                </c:pt>
                <c:pt idx="7">
                  <c:v>8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92-4E49-A2B8-665E0CD6D486}"/>
            </c:ext>
          </c:extLst>
        </c:ser>
        <c:ser>
          <c:idx val="1"/>
          <c:order val="1"/>
          <c:tx>
            <c:strRef>
              <c:f>'Pivot Tables - Visuals'!$C$3</c:f>
              <c:strCache>
                <c:ptCount val="1"/>
                <c:pt idx="0">
                  <c:v>Sum of Capacity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'Pivot Tables - Visuals'!$A$4:$A$14</c:f>
              <c:strCache>
                <c:ptCount val="10"/>
                <c:pt idx="0">
                  <c:v>Aquila</c:v>
                </c:pt>
                <c:pt idx="1">
                  <c:v>Callisto</c:v>
                </c:pt>
                <c:pt idx="2">
                  <c:v>Cassiopeia</c:v>
                </c:pt>
                <c:pt idx="3">
                  <c:v>Cedar</c:v>
                </c:pt>
                <c:pt idx="4">
                  <c:v>Fir</c:v>
                </c:pt>
                <c:pt idx="5">
                  <c:v>Jack Pine</c:v>
                </c:pt>
                <c:pt idx="6">
                  <c:v>Lyra</c:v>
                </c:pt>
                <c:pt idx="7">
                  <c:v>Polaris</c:v>
                </c:pt>
                <c:pt idx="8">
                  <c:v>Red Pine</c:v>
                </c:pt>
                <c:pt idx="9">
                  <c:v>Revontulet</c:v>
                </c:pt>
              </c:strCache>
            </c:strRef>
          </c:cat>
          <c:val>
            <c:numRef>
              <c:f>'Pivot Tables - Visuals'!$C$4:$C$14</c:f>
              <c:numCache>
                <c:formatCode>General</c:formatCode>
                <c:ptCount val="10"/>
                <c:pt idx="0">
                  <c:v>4</c:v>
                </c:pt>
                <c:pt idx="1">
                  <c:v>11</c:v>
                </c:pt>
                <c:pt idx="2">
                  <c:v>12</c:v>
                </c:pt>
                <c:pt idx="3">
                  <c:v>2</c:v>
                </c:pt>
                <c:pt idx="4">
                  <c:v>4</c:v>
                </c:pt>
                <c:pt idx="5">
                  <c:v>8</c:v>
                </c:pt>
                <c:pt idx="6">
                  <c:v>2</c:v>
                </c:pt>
                <c:pt idx="7">
                  <c:v>8</c:v>
                </c:pt>
                <c:pt idx="8">
                  <c:v>8</c:v>
                </c:pt>
                <c:pt idx="9">
                  <c:v>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592-4E49-A2B8-665E0CD6D4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562994527"/>
        <c:axId val="1562995007"/>
      </c:barChart>
      <c:catAx>
        <c:axId val="1562994527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62995007"/>
        <c:crosses val="autoZero"/>
        <c:auto val="1"/>
        <c:lblAlgn val="ctr"/>
        <c:lblOffset val="100"/>
        <c:noMultiLvlLbl val="0"/>
      </c:catAx>
      <c:valAx>
        <c:axId val="15629950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629945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[Camp YMCA Hub (Homebase).xlsm]Pivot Tables - Visuals!PivotTable4</c:name>
    <c:fmtId val="7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</c:pivotFmt>
      <c:pivotFmt>
        <c:idx val="17"/>
      </c:pivotFmt>
      <c:pivotFmt>
        <c:idx val="18"/>
      </c:pivotFmt>
      <c:pivotFmt>
        <c:idx val="19"/>
      </c:pivotFmt>
      <c:pivotFmt>
        <c:idx val="20"/>
      </c:pivotFmt>
      <c:pivotFmt>
        <c:idx val="21"/>
      </c:pivotFmt>
      <c:pivotFmt>
        <c:idx val="22"/>
      </c:pivotFmt>
      <c:pivotFmt>
        <c:idx val="23"/>
      </c:pivotFmt>
      <c:pivotFmt>
        <c:idx val="24"/>
      </c:pivotFmt>
      <c:pivotFmt>
        <c:idx val="25"/>
      </c:pivotFmt>
      <c:pivotFmt>
        <c:idx val="2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</c:pivotFmt>
      <c:pivotFmt>
        <c:idx val="28"/>
      </c:pivotFmt>
      <c:pivotFmt>
        <c:idx val="29"/>
      </c:pivotFmt>
      <c:pivotFmt>
        <c:idx val="30"/>
      </c:pivotFmt>
      <c:pivotFmt>
        <c:idx val="31"/>
      </c:pivotFmt>
      <c:pivotFmt>
        <c:idx val="32"/>
      </c:pivotFmt>
      <c:pivotFmt>
        <c:idx val="33"/>
      </c:pivotFmt>
      <c:pivotFmt>
        <c:idx val="34"/>
      </c:pivotFmt>
      <c:pivotFmt>
        <c:idx val="35"/>
      </c:pivotFmt>
      <c:pivotFmt>
        <c:idx val="36"/>
      </c:pivotFmt>
      <c:pivotFmt>
        <c:idx val="3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</c:pivotFmt>
      <c:pivotFmt>
        <c:idx val="39"/>
      </c:pivotFmt>
      <c:pivotFmt>
        <c:idx val="40"/>
      </c:pivotFmt>
      <c:pivotFmt>
        <c:idx val="41"/>
      </c:pivotFmt>
      <c:pivotFmt>
        <c:idx val="42"/>
      </c:pivotFmt>
      <c:pivotFmt>
        <c:idx val="43"/>
      </c:pivotFmt>
      <c:pivotFmt>
        <c:idx val="44"/>
      </c:pivotFmt>
      <c:pivotFmt>
        <c:idx val="45"/>
      </c:pivotFmt>
      <c:pivotFmt>
        <c:idx val="46"/>
      </c:pivotFmt>
      <c:pivotFmt>
        <c:idx val="47"/>
      </c:pivotFmt>
      <c:pivotFmt>
        <c:idx val="48"/>
        <c:dLbl>
          <c:idx val="0"/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</c:pivotFmt>
      <c:pivotFmt>
        <c:idx val="50"/>
      </c:pivotFmt>
      <c:pivotFmt>
        <c:idx val="51"/>
      </c:pivotFmt>
      <c:pivotFmt>
        <c:idx val="52"/>
      </c:pivotFmt>
      <c:pivotFmt>
        <c:idx val="53"/>
      </c:pivotFmt>
      <c:pivotFmt>
        <c:idx val="54"/>
      </c:pivotFmt>
      <c:pivotFmt>
        <c:idx val="55"/>
      </c:pivotFmt>
      <c:pivotFmt>
        <c:idx val="56"/>
      </c:pivotFmt>
      <c:pivotFmt>
        <c:idx val="57"/>
      </c:pivotFmt>
      <c:pivotFmt>
        <c:idx val="58"/>
      </c:pivotFmt>
      <c:pivotFmt>
        <c:idx val="59"/>
        <c:dLbl>
          <c:idx val="0"/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</c:pivotFmt>
      <c:pivotFmt>
        <c:idx val="61"/>
      </c:pivotFmt>
      <c:pivotFmt>
        <c:idx val="62"/>
      </c:pivotFmt>
      <c:pivotFmt>
        <c:idx val="63"/>
      </c:pivotFmt>
      <c:pivotFmt>
        <c:idx val="64"/>
      </c:pivotFmt>
      <c:pivotFmt>
        <c:idx val="65"/>
      </c:pivotFmt>
      <c:pivotFmt>
        <c:idx val="66"/>
      </c:pivotFmt>
      <c:pivotFmt>
        <c:idx val="67"/>
      </c:pivotFmt>
      <c:pivotFmt>
        <c:idx val="68"/>
      </c:pivotFmt>
      <c:pivotFmt>
        <c:idx val="69"/>
      </c:pivotFmt>
      <c:pivotFmt>
        <c:idx val="70"/>
        <c:spPr>
          <a:gradFill rotWithShape="1">
            <a:gsLst>
              <a:gs pos="0">
                <a:schemeClr val="accent1">
                  <a:tint val="50000"/>
                  <a:satMod val="300000"/>
                </a:schemeClr>
              </a:gs>
              <a:gs pos="35000">
                <a:schemeClr val="accent1">
                  <a:tint val="37000"/>
                  <a:satMod val="300000"/>
                </a:schemeClr>
              </a:gs>
              <a:gs pos="100000">
                <a:schemeClr val="accent1">
                  <a:tint val="15000"/>
                  <a:satMod val="350000"/>
                </a:schemeClr>
              </a:gs>
            </a:gsLst>
            <a:lin ang="16200000" scaled="1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>
            <a:outerShdw blurRad="40000" dist="20000" dir="5400000" rotWithShape="0">
              <a:srgbClr val="000000">
                <a:alpha val="38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gradFill rotWithShape="1">
            <a:gsLst>
              <a:gs pos="0">
                <a:schemeClr val="accent1">
                  <a:tint val="50000"/>
                  <a:satMod val="300000"/>
                </a:schemeClr>
              </a:gs>
              <a:gs pos="35000">
                <a:schemeClr val="accent1">
                  <a:tint val="37000"/>
                  <a:satMod val="300000"/>
                </a:schemeClr>
              </a:gs>
              <a:gs pos="100000">
                <a:schemeClr val="accent1">
                  <a:tint val="15000"/>
                  <a:satMod val="350000"/>
                </a:schemeClr>
              </a:gs>
            </a:gsLst>
            <a:lin ang="16200000" scaled="1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>
            <a:outerShdw blurRad="40000" dist="20000" dir="5400000" rotWithShape="0">
              <a:srgbClr val="000000">
                <a:alpha val="38000"/>
              </a:srgbClr>
            </a:outerShdw>
          </a:effectLst>
        </c:spPr>
      </c:pivotFmt>
      <c:pivotFmt>
        <c:idx val="72"/>
        <c:spPr>
          <a:gradFill rotWithShape="1">
            <a:gsLst>
              <a:gs pos="0">
                <a:schemeClr val="accent1">
                  <a:tint val="50000"/>
                  <a:satMod val="300000"/>
                </a:schemeClr>
              </a:gs>
              <a:gs pos="35000">
                <a:schemeClr val="accent1">
                  <a:tint val="37000"/>
                  <a:satMod val="300000"/>
                </a:schemeClr>
              </a:gs>
              <a:gs pos="100000">
                <a:schemeClr val="accent1">
                  <a:tint val="15000"/>
                  <a:satMod val="350000"/>
                </a:schemeClr>
              </a:gs>
            </a:gsLst>
            <a:lin ang="16200000" scaled="1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>
            <a:outerShdw blurRad="40000" dist="20000" dir="5400000" rotWithShape="0">
              <a:srgbClr val="000000">
                <a:alpha val="38000"/>
              </a:srgbClr>
            </a:outerShdw>
          </a:effectLst>
        </c:spPr>
      </c:pivotFmt>
      <c:pivotFmt>
        <c:idx val="73"/>
        <c:spPr>
          <a:gradFill rotWithShape="1">
            <a:gsLst>
              <a:gs pos="0">
                <a:schemeClr val="accent1">
                  <a:tint val="50000"/>
                  <a:satMod val="300000"/>
                </a:schemeClr>
              </a:gs>
              <a:gs pos="35000">
                <a:schemeClr val="accent1">
                  <a:tint val="37000"/>
                  <a:satMod val="300000"/>
                </a:schemeClr>
              </a:gs>
              <a:gs pos="100000">
                <a:schemeClr val="accent1">
                  <a:tint val="15000"/>
                  <a:satMod val="350000"/>
                </a:schemeClr>
              </a:gs>
            </a:gsLst>
            <a:lin ang="16200000" scaled="1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>
            <a:outerShdw blurRad="40000" dist="20000" dir="5400000" rotWithShape="0">
              <a:srgbClr val="000000">
                <a:alpha val="38000"/>
              </a:srgbClr>
            </a:outerShdw>
          </a:effectLst>
        </c:spPr>
      </c:pivotFmt>
      <c:pivotFmt>
        <c:idx val="74"/>
        <c:spPr>
          <a:gradFill rotWithShape="1">
            <a:gsLst>
              <a:gs pos="0">
                <a:schemeClr val="accent1">
                  <a:tint val="50000"/>
                  <a:satMod val="300000"/>
                </a:schemeClr>
              </a:gs>
              <a:gs pos="35000">
                <a:schemeClr val="accent1">
                  <a:tint val="37000"/>
                  <a:satMod val="300000"/>
                </a:schemeClr>
              </a:gs>
              <a:gs pos="100000">
                <a:schemeClr val="accent1">
                  <a:tint val="15000"/>
                  <a:satMod val="350000"/>
                </a:schemeClr>
              </a:gs>
            </a:gsLst>
            <a:lin ang="16200000" scaled="1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>
            <a:outerShdw blurRad="40000" dist="20000" dir="5400000" rotWithShape="0">
              <a:srgbClr val="000000">
                <a:alpha val="38000"/>
              </a:srgbClr>
            </a:outerShdw>
          </a:effectLst>
        </c:spPr>
      </c:pivotFmt>
      <c:pivotFmt>
        <c:idx val="75"/>
        <c:spPr>
          <a:gradFill rotWithShape="1">
            <a:gsLst>
              <a:gs pos="0">
                <a:schemeClr val="accent1">
                  <a:tint val="50000"/>
                  <a:satMod val="300000"/>
                </a:schemeClr>
              </a:gs>
              <a:gs pos="35000">
                <a:schemeClr val="accent1">
                  <a:tint val="37000"/>
                  <a:satMod val="300000"/>
                </a:schemeClr>
              </a:gs>
              <a:gs pos="100000">
                <a:schemeClr val="accent1">
                  <a:tint val="15000"/>
                  <a:satMod val="350000"/>
                </a:schemeClr>
              </a:gs>
            </a:gsLst>
            <a:lin ang="16200000" scaled="1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>
            <a:outerShdw blurRad="40000" dist="20000" dir="5400000" rotWithShape="0">
              <a:srgbClr val="000000">
                <a:alpha val="38000"/>
              </a:srgbClr>
            </a:outerShdw>
          </a:effectLst>
        </c:spPr>
      </c:pivotFmt>
      <c:pivotFmt>
        <c:idx val="76"/>
        <c:spPr>
          <a:gradFill rotWithShape="1">
            <a:gsLst>
              <a:gs pos="0">
                <a:schemeClr val="accent1">
                  <a:tint val="50000"/>
                  <a:satMod val="300000"/>
                </a:schemeClr>
              </a:gs>
              <a:gs pos="35000">
                <a:schemeClr val="accent1">
                  <a:tint val="37000"/>
                  <a:satMod val="300000"/>
                </a:schemeClr>
              </a:gs>
              <a:gs pos="100000">
                <a:schemeClr val="accent1">
                  <a:tint val="15000"/>
                  <a:satMod val="350000"/>
                </a:schemeClr>
              </a:gs>
            </a:gsLst>
            <a:lin ang="16200000" scaled="1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>
            <a:outerShdw blurRad="40000" dist="20000" dir="5400000" rotWithShape="0">
              <a:srgbClr val="000000">
                <a:alpha val="38000"/>
              </a:srgbClr>
            </a:outerShdw>
          </a:effectLst>
        </c:spPr>
      </c:pivotFmt>
      <c:pivotFmt>
        <c:idx val="77"/>
        <c:spPr>
          <a:gradFill rotWithShape="1">
            <a:gsLst>
              <a:gs pos="0">
                <a:schemeClr val="accent1">
                  <a:tint val="50000"/>
                  <a:satMod val="300000"/>
                </a:schemeClr>
              </a:gs>
              <a:gs pos="35000">
                <a:schemeClr val="accent1">
                  <a:tint val="37000"/>
                  <a:satMod val="300000"/>
                </a:schemeClr>
              </a:gs>
              <a:gs pos="100000">
                <a:schemeClr val="accent1">
                  <a:tint val="15000"/>
                  <a:satMod val="350000"/>
                </a:schemeClr>
              </a:gs>
            </a:gsLst>
            <a:lin ang="16200000" scaled="1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>
            <a:outerShdw blurRad="40000" dist="20000" dir="5400000" rotWithShape="0">
              <a:srgbClr val="000000">
                <a:alpha val="38000"/>
              </a:srgbClr>
            </a:outerShdw>
          </a:effectLst>
        </c:spPr>
      </c:pivotFmt>
      <c:pivotFmt>
        <c:idx val="78"/>
        <c:spPr>
          <a:gradFill rotWithShape="1">
            <a:gsLst>
              <a:gs pos="0">
                <a:schemeClr val="accent1">
                  <a:tint val="50000"/>
                  <a:satMod val="300000"/>
                </a:schemeClr>
              </a:gs>
              <a:gs pos="35000">
                <a:schemeClr val="accent1">
                  <a:tint val="37000"/>
                  <a:satMod val="300000"/>
                </a:schemeClr>
              </a:gs>
              <a:gs pos="100000">
                <a:schemeClr val="accent1">
                  <a:tint val="15000"/>
                  <a:satMod val="350000"/>
                </a:schemeClr>
              </a:gs>
            </a:gsLst>
            <a:lin ang="16200000" scaled="1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>
            <a:outerShdw blurRad="40000" dist="20000" dir="5400000" rotWithShape="0">
              <a:srgbClr val="000000">
                <a:alpha val="38000"/>
              </a:srgbClr>
            </a:outerShdw>
          </a:effectLst>
        </c:spPr>
      </c:pivotFmt>
      <c:pivotFmt>
        <c:idx val="79"/>
        <c:spPr>
          <a:gradFill rotWithShape="1">
            <a:gsLst>
              <a:gs pos="0">
                <a:schemeClr val="accent1">
                  <a:tint val="50000"/>
                  <a:satMod val="300000"/>
                </a:schemeClr>
              </a:gs>
              <a:gs pos="35000">
                <a:schemeClr val="accent1">
                  <a:tint val="37000"/>
                  <a:satMod val="300000"/>
                </a:schemeClr>
              </a:gs>
              <a:gs pos="100000">
                <a:schemeClr val="accent1">
                  <a:tint val="15000"/>
                  <a:satMod val="350000"/>
                </a:schemeClr>
              </a:gs>
            </a:gsLst>
            <a:lin ang="16200000" scaled="1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>
            <a:outerShdw blurRad="40000" dist="20000" dir="5400000" rotWithShape="0">
              <a:srgbClr val="000000">
                <a:alpha val="38000"/>
              </a:srgbClr>
            </a:outerShdw>
          </a:effectLst>
        </c:spPr>
      </c:pivotFmt>
      <c:pivotFmt>
        <c:idx val="80"/>
        <c:spPr>
          <a:gradFill rotWithShape="1">
            <a:gsLst>
              <a:gs pos="0">
                <a:schemeClr val="accent1">
                  <a:tint val="50000"/>
                  <a:satMod val="300000"/>
                </a:schemeClr>
              </a:gs>
              <a:gs pos="35000">
                <a:schemeClr val="accent1">
                  <a:tint val="37000"/>
                  <a:satMod val="300000"/>
                </a:schemeClr>
              </a:gs>
              <a:gs pos="100000">
                <a:schemeClr val="accent1">
                  <a:tint val="15000"/>
                  <a:satMod val="350000"/>
                </a:schemeClr>
              </a:gs>
            </a:gsLst>
            <a:lin ang="16200000" scaled="1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>
            <a:outerShdw blurRad="40000" dist="20000" dir="5400000" rotWithShape="0">
              <a:srgbClr val="000000">
                <a:alpha val="38000"/>
              </a:srgbClr>
            </a:outerShdw>
          </a:effectLst>
        </c:spPr>
      </c:pivotFmt>
      <c:pivotFmt>
        <c:idx val="81"/>
        <c:dLbl>
          <c:idx val="0"/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</c:pivotFmt>
      <c:pivotFmt>
        <c:idx val="83"/>
      </c:pivotFmt>
      <c:pivotFmt>
        <c:idx val="84"/>
      </c:pivotFmt>
      <c:pivotFmt>
        <c:idx val="85"/>
      </c:pivotFmt>
      <c:pivotFmt>
        <c:idx val="86"/>
      </c:pivotFmt>
      <c:pivotFmt>
        <c:idx val="87"/>
      </c:pivotFmt>
      <c:pivotFmt>
        <c:idx val="88"/>
      </c:pivotFmt>
      <c:pivotFmt>
        <c:idx val="89"/>
      </c:pivotFmt>
      <c:pivotFmt>
        <c:idx val="90"/>
      </c:pivotFmt>
      <c:pivotFmt>
        <c:idx val="91"/>
      </c:pivotFmt>
      <c:pivotFmt>
        <c:idx val="92"/>
        <c:dLbl>
          <c:idx val="0"/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dLbl>
          <c:idx val="0"/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dLbl>
          <c:idx val="0"/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dLbl>
          <c:idx val="0"/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dLbl>
          <c:idx val="0"/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gradFill rotWithShape="1">
            <a:gsLst>
              <a:gs pos="0">
                <a:schemeClr val="accent1">
                  <a:tint val="50000"/>
                  <a:satMod val="300000"/>
                </a:schemeClr>
              </a:gs>
              <a:gs pos="35000">
                <a:schemeClr val="accent1">
                  <a:tint val="37000"/>
                  <a:satMod val="300000"/>
                </a:schemeClr>
              </a:gs>
              <a:gs pos="100000">
                <a:schemeClr val="accent1">
                  <a:tint val="15000"/>
                  <a:satMod val="350000"/>
                </a:schemeClr>
              </a:gs>
            </a:gsLst>
            <a:lin ang="16200000" scaled="1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>
            <a:outerShdw blurRad="40000" dist="20000" dir="5400000" rotWithShape="0">
              <a:srgbClr val="000000">
                <a:alpha val="38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gradFill rotWithShape="1">
            <a:gsLst>
              <a:gs pos="0">
                <a:schemeClr val="accent1">
                  <a:tint val="50000"/>
                  <a:satMod val="300000"/>
                </a:schemeClr>
              </a:gs>
              <a:gs pos="35000">
                <a:schemeClr val="accent1">
                  <a:tint val="37000"/>
                  <a:satMod val="300000"/>
                </a:schemeClr>
              </a:gs>
              <a:gs pos="100000">
                <a:schemeClr val="accent1">
                  <a:tint val="15000"/>
                  <a:satMod val="350000"/>
                </a:schemeClr>
              </a:gs>
            </a:gsLst>
            <a:lin ang="16200000" scaled="1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>
            <a:outerShdw blurRad="40000" dist="20000" dir="5400000" rotWithShape="0">
              <a:srgbClr val="000000">
                <a:alpha val="38000"/>
              </a:srgbClr>
            </a:outerShdw>
          </a:effectLst>
        </c:spPr>
      </c:pivotFmt>
      <c:pivotFmt>
        <c:idx val="99"/>
        <c:spPr>
          <a:gradFill rotWithShape="1">
            <a:gsLst>
              <a:gs pos="0">
                <a:schemeClr val="accent1">
                  <a:tint val="50000"/>
                  <a:satMod val="300000"/>
                </a:schemeClr>
              </a:gs>
              <a:gs pos="35000">
                <a:schemeClr val="accent1">
                  <a:tint val="37000"/>
                  <a:satMod val="300000"/>
                </a:schemeClr>
              </a:gs>
              <a:gs pos="100000">
                <a:schemeClr val="accent1">
                  <a:tint val="15000"/>
                  <a:satMod val="350000"/>
                </a:schemeClr>
              </a:gs>
            </a:gsLst>
            <a:lin ang="16200000" scaled="1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>
            <a:outerShdw blurRad="40000" dist="20000" dir="5400000" rotWithShape="0">
              <a:srgbClr val="000000">
                <a:alpha val="38000"/>
              </a:srgbClr>
            </a:outerShdw>
          </a:effectLst>
        </c:spPr>
      </c:pivotFmt>
      <c:pivotFmt>
        <c:idx val="100"/>
        <c:spPr>
          <a:gradFill rotWithShape="1">
            <a:gsLst>
              <a:gs pos="0">
                <a:schemeClr val="accent1">
                  <a:tint val="50000"/>
                  <a:satMod val="300000"/>
                </a:schemeClr>
              </a:gs>
              <a:gs pos="35000">
                <a:schemeClr val="accent1">
                  <a:tint val="37000"/>
                  <a:satMod val="300000"/>
                </a:schemeClr>
              </a:gs>
              <a:gs pos="100000">
                <a:schemeClr val="accent1">
                  <a:tint val="15000"/>
                  <a:satMod val="350000"/>
                </a:schemeClr>
              </a:gs>
            </a:gsLst>
            <a:lin ang="16200000" scaled="1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>
            <a:outerShdw blurRad="40000" dist="20000" dir="5400000" rotWithShape="0">
              <a:srgbClr val="000000">
                <a:alpha val="38000"/>
              </a:srgbClr>
            </a:outerShdw>
          </a:effectLst>
        </c:spPr>
      </c:pivotFmt>
      <c:pivotFmt>
        <c:idx val="101"/>
        <c:spPr>
          <a:gradFill rotWithShape="1">
            <a:gsLst>
              <a:gs pos="0">
                <a:schemeClr val="accent1">
                  <a:tint val="50000"/>
                  <a:satMod val="300000"/>
                </a:schemeClr>
              </a:gs>
              <a:gs pos="35000">
                <a:schemeClr val="accent1">
                  <a:tint val="37000"/>
                  <a:satMod val="300000"/>
                </a:schemeClr>
              </a:gs>
              <a:gs pos="100000">
                <a:schemeClr val="accent1">
                  <a:tint val="15000"/>
                  <a:satMod val="350000"/>
                </a:schemeClr>
              </a:gs>
            </a:gsLst>
            <a:lin ang="16200000" scaled="1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>
            <a:outerShdw blurRad="40000" dist="20000" dir="5400000" rotWithShape="0">
              <a:srgbClr val="000000">
                <a:alpha val="38000"/>
              </a:srgbClr>
            </a:outerShdw>
          </a:effectLst>
        </c:spPr>
      </c:pivotFmt>
      <c:pivotFmt>
        <c:idx val="102"/>
        <c:spPr>
          <a:gradFill rotWithShape="1">
            <a:gsLst>
              <a:gs pos="0">
                <a:schemeClr val="accent1">
                  <a:tint val="50000"/>
                  <a:satMod val="300000"/>
                </a:schemeClr>
              </a:gs>
              <a:gs pos="35000">
                <a:schemeClr val="accent1">
                  <a:tint val="37000"/>
                  <a:satMod val="300000"/>
                </a:schemeClr>
              </a:gs>
              <a:gs pos="100000">
                <a:schemeClr val="accent1">
                  <a:tint val="15000"/>
                  <a:satMod val="350000"/>
                </a:schemeClr>
              </a:gs>
            </a:gsLst>
            <a:lin ang="16200000" scaled="1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>
            <a:outerShdw blurRad="40000" dist="20000" dir="5400000" rotWithShape="0">
              <a:srgbClr val="000000">
                <a:alpha val="38000"/>
              </a:srgbClr>
            </a:outerShdw>
          </a:effectLst>
        </c:spPr>
      </c:pivotFmt>
      <c:pivotFmt>
        <c:idx val="103"/>
        <c:spPr>
          <a:gradFill rotWithShape="1">
            <a:gsLst>
              <a:gs pos="0">
                <a:schemeClr val="accent1">
                  <a:tint val="50000"/>
                  <a:satMod val="300000"/>
                </a:schemeClr>
              </a:gs>
              <a:gs pos="35000">
                <a:schemeClr val="accent1">
                  <a:tint val="37000"/>
                  <a:satMod val="300000"/>
                </a:schemeClr>
              </a:gs>
              <a:gs pos="100000">
                <a:schemeClr val="accent1">
                  <a:tint val="15000"/>
                  <a:satMod val="350000"/>
                </a:schemeClr>
              </a:gs>
            </a:gsLst>
            <a:lin ang="16200000" scaled="1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>
            <a:outerShdw blurRad="40000" dist="20000" dir="5400000" rotWithShape="0">
              <a:srgbClr val="000000">
                <a:alpha val="38000"/>
              </a:srgbClr>
            </a:outerShdw>
          </a:effectLst>
        </c:spPr>
      </c:pivotFmt>
      <c:pivotFmt>
        <c:idx val="104"/>
        <c:spPr>
          <a:gradFill rotWithShape="1">
            <a:gsLst>
              <a:gs pos="0">
                <a:schemeClr val="accent1">
                  <a:tint val="50000"/>
                  <a:satMod val="300000"/>
                </a:schemeClr>
              </a:gs>
              <a:gs pos="35000">
                <a:schemeClr val="accent1">
                  <a:tint val="37000"/>
                  <a:satMod val="300000"/>
                </a:schemeClr>
              </a:gs>
              <a:gs pos="100000">
                <a:schemeClr val="accent1">
                  <a:tint val="15000"/>
                  <a:satMod val="350000"/>
                </a:schemeClr>
              </a:gs>
            </a:gsLst>
            <a:lin ang="16200000" scaled="1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>
            <a:outerShdw blurRad="40000" dist="20000" dir="5400000" rotWithShape="0">
              <a:srgbClr val="000000">
                <a:alpha val="38000"/>
              </a:srgbClr>
            </a:outerShdw>
          </a:effectLst>
        </c:spPr>
      </c:pivotFmt>
      <c:pivotFmt>
        <c:idx val="105"/>
        <c:spPr>
          <a:gradFill rotWithShape="1">
            <a:gsLst>
              <a:gs pos="0">
                <a:schemeClr val="accent1">
                  <a:tint val="50000"/>
                  <a:satMod val="300000"/>
                </a:schemeClr>
              </a:gs>
              <a:gs pos="35000">
                <a:schemeClr val="accent1">
                  <a:tint val="37000"/>
                  <a:satMod val="300000"/>
                </a:schemeClr>
              </a:gs>
              <a:gs pos="100000">
                <a:schemeClr val="accent1">
                  <a:tint val="15000"/>
                  <a:satMod val="350000"/>
                </a:schemeClr>
              </a:gs>
            </a:gsLst>
            <a:lin ang="16200000" scaled="1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>
            <a:outerShdw blurRad="40000" dist="20000" dir="5400000" rotWithShape="0">
              <a:srgbClr val="000000">
                <a:alpha val="38000"/>
              </a:srgbClr>
            </a:outerShdw>
          </a:effectLst>
        </c:spPr>
      </c:pivotFmt>
      <c:pivotFmt>
        <c:idx val="106"/>
        <c:spPr>
          <a:gradFill rotWithShape="1">
            <a:gsLst>
              <a:gs pos="0">
                <a:schemeClr val="accent1">
                  <a:tint val="50000"/>
                  <a:satMod val="300000"/>
                </a:schemeClr>
              </a:gs>
              <a:gs pos="35000">
                <a:schemeClr val="accent1">
                  <a:tint val="37000"/>
                  <a:satMod val="300000"/>
                </a:schemeClr>
              </a:gs>
              <a:gs pos="100000">
                <a:schemeClr val="accent1">
                  <a:tint val="15000"/>
                  <a:satMod val="350000"/>
                </a:schemeClr>
              </a:gs>
            </a:gsLst>
            <a:lin ang="16200000" scaled="1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>
            <a:outerShdw blurRad="40000" dist="20000" dir="5400000" rotWithShape="0">
              <a:srgbClr val="000000">
                <a:alpha val="38000"/>
              </a:srgbClr>
            </a:outerShdw>
          </a:effectLst>
        </c:spPr>
      </c:pivotFmt>
      <c:pivotFmt>
        <c:idx val="107"/>
        <c:spPr>
          <a:gradFill rotWithShape="1">
            <a:gsLst>
              <a:gs pos="0">
                <a:schemeClr val="accent1">
                  <a:tint val="50000"/>
                  <a:satMod val="300000"/>
                </a:schemeClr>
              </a:gs>
              <a:gs pos="35000">
                <a:schemeClr val="accent1">
                  <a:tint val="37000"/>
                  <a:satMod val="300000"/>
                </a:schemeClr>
              </a:gs>
              <a:gs pos="100000">
                <a:schemeClr val="accent1">
                  <a:tint val="15000"/>
                  <a:satMod val="350000"/>
                </a:schemeClr>
              </a:gs>
            </a:gsLst>
            <a:lin ang="16200000" scaled="1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>
            <a:outerShdw blurRad="40000" dist="20000" dir="5400000" rotWithShape="0">
              <a:srgbClr val="000000">
                <a:alpha val="38000"/>
              </a:srgbClr>
            </a:outerShdw>
          </a:effectLst>
        </c:spPr>
      </c:pivotFmt>
    </c:pivotFmts>
    <c:plotArea>
      <c:layout>
        <c:manualLayout>
          <c:layoutTarget val="inner"/>
          <c:xMode val="edge"/>
          <c:yMode val="edge"/>
          <c:x val="0.20739953570003539"/>
          <c:y val="9.5563707797356304E-2"/>
          <c:w val="0.58161043596231676"/>
          <c:h val="0.90443629220264365"/>
        </c:manualLayout>
      </c:layout>
      <c:pieChart>
        <c:varyColors val="1"/>
        <c:ser>
          <c:idx val="0"/>
          <c:order val="0"/>
          <c:tx>
            <c:strRef>
              <c:f>'Pivot Tables - Visuals'!$B$3</c:f>
              <c:strCache>
                <c:ptCount val="1"/>
                <c:pt idx="0">
                  <c:v>Sum of People Assigned</c:v>
                </c:pt>
              </c:strCache>
            </c:strRef>
          </c:tx>
          <c:explosion val="9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tint val="50000"/>
                      <a:satMod val="300000"/>
                    </a:schemeClr>
                  </a:gs>
                  <a:gs pos="35000">
                    <a:schemeClr val="accent1">
                      <a:tint val="37000"/>
                      <a:satMod val="300000"/>
                    </a:schemeClr>
                  </a:gs>
                  <a:gs pos="100000">
                    <a:schemeClr val="accent1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4448-47DA-95E2-EA2CAE05CA0B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tint val="50000"/>
                      <a:satMod val="300000"/>
                    </a:schemeClr>
                  </a:gs>
                  <a:gs pos="35000">
                    <a:schemeClr val="accent2">
                      <a:tint val="37000"/>
                      <a:satMod val="300000"/>
                    </a:schemeClr>
                  </a:gs>
                  <a:gs pos="100000">
                    <a:schemeClr val="accent2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4448-47DA-95E2-EA2CAE05CA0B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tint val="50000"/>
                      <a:satMod val="300000"/>
                    </a:schemeClr>
                  </a:gs>
                  <a:gs pos="35000">
                    <a:schemeClr val="accent3">
                      <a:tint val="37000"/>
                      <a:satMod val="300000"/>
                    </a:schemeClr>
                  </a:gs>
                  <a:gs pos="100000">
                    <a:schemeClr val="accent3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3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4448-47DA-95E2-EA2CAE05CA0B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tint val="50000"/>
                      <a:satMod val="300000"/>
                    </a:schemeClr>
                  </a:gs>
                  <a:gs pos="35000">
                    <a:schemeClr val="accent4">
                      <a:tint val="37000"/>
                      <a:satMod val="300000"/>
                    </a:schemeClr>
                  </a:gs>
                  <a:gs pos="100000">
                    <a:schemeClr val="accent4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4448-47DA-95E2-EA2CAE05CA0B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tint val="50000"/>
                      <a:satMod val="300000"/>
                    </a:schemeClr>
                  </a:gs>
                  <a:gs pos="35000">
                    <a:schemeClr val="accent5">
                      <a:tint val="37000"/>
                      <a:satMod val="300000"/>
                    </a:schemeClr>
                  </a:gs>
                  <a:gs pos="100000">
                    <a:schemeClr val="accent5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5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4448-47DA-95E2-EA2CAE05CA0B}"/>
              </c:ext>
            </c:extLst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tint val="50000"/>
                      <a:satMod val="300000"/>
                    </a:schemeClr>
                  </a:gs>
                  <a:gs pos="35000">
                    <a:schemeClr val="accent6">
                      <a:tint val="37000"/>
                      <a:satMod val="300000"/>
                    </a:schemeClr>
                  </a:gs>
                  <a:gs pos="100000">
                    <a:schemeClr val="accent6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6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4448-47DA-95E2-EA2CAE05CA0B}"/>
              </c:ext>
            </c:extLst>
          </c:dPt>
          <c:dPt>
            <c:idx val="6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tint val="50000"/>
                      <a:satMod val="300000"/>
                    </a:schemeClr>
                  </a:gs>
                  <a:gs pos="35000">
                    <a:schemeClr val="accent1">
                      <a:lumMod val="60000"/>
                      <a:tint val="37000"/>
                      <a:satMod val="300000"/>
                    </a:schemeClr>
                  </a:gs>
                  <a:gs pos="100000">
                    <a:schemeClr val="accent1">
                      <a:lumMod val="60000"/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1">
                    <a:lumMod val="60000"/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4448-47DA-95E2-EA2CAE05CA0B}"/>
              </c:ext>
            </c:extLst>
          </c:dPt>
          <c:dPt>
            <c:idx val="7"/>
            <c:bubble3D val="0"/>
            <c:spPr>
              <a:gradFill rotWithShape="1">
                <a:gsLst>
                  <a:gs pos="0">
                    <a:schemeClr val="accent2">
                      <a:lumMod val="60000"/>
                      <a:tint val="50000"/>
                      <a:satMod val="300000"/>
                    </a:schemeClr>
                  </a:gs>
                  <a:gs pos="35000">
                    <a:schemeClr val="accent2">
                      <a:lumMod val="60000"/>
                      <a:tint val="37000"/>
                      <a:satMod val="300000"/>
                    </a:schemeClr>
                  </a:gs>
                  <a:gs pos="100000">
                    <a:schemeClr val="accent2">
                      <a:lumMod val="60000"/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2">
                    <a:lumMod val="60000"/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4448-47DA-95E2-EA2CAE05CA0B}"/>
              </c:ext>
            </c:extLst>
          </c:dPt>
          <c:dPt>
            <c:idx val="8"/>
            <c:bubble3D val="0"/>
            <c:spPr>
              <a:gradFill rotWithShape="1">
                <a:gsLst>
                  <a:gs pos="0">
                    <a:schemeClr val="accent3">
                      <a:lumMod val="60000"/>
                      <a:tint val="50000"/>
                      <a:satMod val="300000"/>
                    </a:schemeClr>
                  </a:gs>
                  <a:gs pos="35000">
                    <a:schemeClr val="accent3">
                      <a:lumMod val="60000"/>
                      <a:tint val="37000"/>
                      <a:satMod val="300000"/>
                    </a:schemeClr>
                  </a:gs>
                  <a:gs pos="100000">
                    <a:schemeClr val="accent3">
                      <a:lumMod val="60000"/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3">
                    <a:lumMod val="60000"/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1-4448-47DA-95E2-EA2CAE05CA0B}"/>
              </c:ext>
            </c:extLst>
          </c:dPt>
          <c:dPt>
            <c:idx val="9"/>
            <c:bubble3D val="0"/>
            <c:spPr>
              <a:gradFill rotWithShape="1">
                <a:gsLst>
                  <a:gs pos="0">
                    <a:schemeClr val="accent4">
                      <a:lumMod val="60000"/>
                      <a:tint val="50000"/>
                      <a:satMod val="300000"/>
                    </a:schemeClr>
                  </a:gs>
                  <a:gs pos="35000">
                    <a:schemeClr val="accent4">
                      <a:lumMod val="60000"/>
                      <a:tint val="37000"/>
                      <a:satMod val="300000"/>
                    </a:schemeClr>
                  </a:gs>
                  <a:gs pos="100000">
                    <a:schemeClr val="accent4">
                      <a:lumMod val="60000"/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4">
                    <a:lumMod val="60000"/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3-4448-47DA-95E2-EA2CAE05CA0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'Pivot Tables - Visuals'!$A$4:$A$14</c:f>
              <c:strCache>
                <c:ptCount val="10"/>
                <c:pt idx="0">
                  <c:v>Aquila</c:v>
                </c:pt>
                <c:pt idx="1">
                  <c:v>Callisto</c:v>
                </c:pt>
                <c:pt idx="2">
                  <c:v>Cassiopeia</c:v>
                </c:pt>
                <c:pt idx="3">
                  <c:v>Cedar</c:v>
                </c:pt>
                <c:pt idx="4">
                  <c:v>Fir</c:v>
                </c:pt>
                <c:pt idx="5">
                  <c:v>Jack Pine</c:v>
                </c:pt>
                <c:pt idx="6">
                  <c:v>Lyra</c:v>
                </c:pt>
                <c:pt idx="7">
                  <c:v>Polaris</c:v>
                </c:pt>
                <c:pt idx="8">
                  <c:v>Red Pine</c:v>
                </c:pt>
                <c:pt idx="9">
                  <c:v>Revontulet</c:v>
                </c:pt>
              </c:strCache>
            </c:strRef>
          </c:cat>
          <c:val>
            <c:numRef>
              <c:f>'Pivot Tables - Visuals'!$B$4:$B$14</c:f>
              <c:numCache>
                <c:formatCode>General</c:formatCode>
                <c:ptCount val="10"/>
                <c:pt idx="0">
                  <c:v>4</c:v>
                </c:pt>
                <c:pt idx="1">
                  <c:v>11</c:v>
                </c:pt>
                <c:pt idx="2">
                  <c:v>0</c:v>
                </c:pt>
                <c:pt idx="3">
                  <c:v>2</c:v>
                </c:pt>
                <c:pt idx="4">
                  <c:v>4</c:v>
                </c:pt>
                <c:pt idx="5">
                  <c:v>4</c:v>
                </c:pt>
                <c:pt idx="6">
                  <c:v>2</c:v>
                </c:pt>
                <c:pt idx="7">
                  <c:v>8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448-47DA-95E2-EA2CAE05CA0B}"/>
            </c:ext>
          </c:extLst>
        </c:ser>
        <c:ser>
          <c:idx val="1"/>
          <c:order val="1"/>
          <c:tx>
            <c:strRef>
              <c:f>'Pivot Tables - Visuals'!$C$3</c:f>
              <c:strCache>
                <c:ptCount val="1"/>
                <c:pt idx="0">
                  <c:v>Sum of Capacity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tint val="50000"/>
                      <a:satMod val="300000"/>
                    </a:schemeClr>
                  </a:gs>
                  <a:gs pos="35000">
                    <a:schemeClr val="accent1">
                      <a:tint val="37000"/>
                      <a:satMod val="300000"/>
                    </a:schemeClr>
                  </a:gs>
                  <a:gs pos="100000">
                    <a:schemeClr val="accent1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5-CEA6-4779-9645-CA924E312695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tint val="50000"/>
                      <a:satMod val="300000"/>
                    </a:schemeClr>
                  </a:gs>
                  <a:gs pos="35000">
                    <a:schemeClr val="accent2">
                      <a:tint val="37000"/>
                      <a:satMod val="300000"/>
                    </a:schemeClr>
                  </a:gs>
                  <a:gs pos="100000">
                    <a:schemeClr val="accent2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7-CEA6-4779-9645-CA924E312695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tint val="50000"/>
                      <a:satMod val="300000"/>
                    </a:schemeClr>
                  </a:gs>
                  <a:gs pos="35000">
                    <a:schemeClr val="accent3">
                      <a:tint val="37000"/>
                      <a:satMod val="300000"/>
                    </a:schemeClr>
                  </a:gs>
                  <a:gs pos="100000">
                    <a:schemeClr val="accent3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3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9-CEA6-4779-9645-CA924E312695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tint val="50000"/>
                      <a:satMod val="300000"/>
                    </a:schemeClr>
                  </a:gs>
                  <a:gs pos="35000">
                    <a:schemeClr val="accent4">
                      <a:tint val="37000"/>
                      <a:satMod val="300000"/>
                    </a:schemeClr>
                  </a:gs>
                  <a:gs pos="100000">
                    <a:schemeClr val="accent4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B-CEA6-4779-9645-CA924E312695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tint val="50000"/>
                      <a:satMod val="300000"/>
                    </a:schemeClr>
                  </a:gs>
                  <a:gs pos="35000">
                    <a:schemeClr val="accent5">
                      <a:tint val="37000"/>
                      <a:satMod val="300000"/>
                    </a:schemeClr>
                  </a:gs>
                  <a:gs pos="100000">
                    <a:schemeClr val="accent5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5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D-CEA6-4779-9645-CA924E312695}"/>
              </c:ext>
            </c:extLst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tint val="50000"/>
                      <a:satMod val="300000"/>
                    </a:schemeClr>
                  </a:gs>
                  <a:gs pos="35000">
                    <a:schemeClr val="accent6">
                      <a:tint val="37000"/>
                      <a:satMod val="300000"/>
                    </a:schemeClr>
                  </a:gs>
                  <a:gs pos="100000">
                    <a:schemeClr val="accent6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6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F-CEA6-4779-9645-CA924E312695}"/>
              </c:ext>
            </c:extLst>
          </c:dPt>
          <c:dPt>
            <c:idx val="6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tint val="50000"/>
                      <a:satMod val="300000"/>
                    </a:schemeClr>
                  </a:gs>
                  <a:gs pos="35000">
                    <a:schemeClr val="accent1">
                      <a:lumMod val="60000"/>
                      <a:tint val="37000"/>
                      <a:satMod val="300000"/>
                    </a:schemeClr>
                  </a:gs>
                  <a:gs pos="100000">
                    <a:schemeClr val="accent1">
                      <a:lumMod val="60000"/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1">
                    <a:lumMod val="60000"/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1-CEA6-4779-9645-CA924E312695}"/>
              </c:ext>
            </c:extLst>
          </c:dPt>
          <c:dPt>
            <c:idx val="7"/>
            <c:bubble3D val="0"/>
            <c:spPr>
              <a:gradFill rotWithShape="1">
                <a:gsLst>
                  <a:gs pos="0">
                    <a:schemeClr val="accent2">
                      <a:lumMod val="60000"/>
                      <a:tint val="50000"/>
                      <a:satMod val="300000"/>
                    </a:schemeClr>
                  </a:gs>
                  <a:gs pos="35000">
                    <a:schemeClr val="accent2">
                      <a:lumMod val="60000"/>
                      <a:tint val="37000"/>
                      <a:satMod val="300000"/>
                    </a:schemeClr>
                  </a:gs>
                  <a:gs pos="100000">
                    <a:schemeClr val="accent2">
                      <a:lumMod val="60000"/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2">
                    <a:lumMod val="60000"/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3-CEA6-4779-9645-CA924E312695}"/>
              </c:ext>
            </c:extLst>
          </c:dPt>
          <c:dPt>
            <c:idx val="8"/>
            <c:bubble3D val="0"/>
            <c:spPr>
              <a:gradFill rotWithShape="1">
                <a:gsLst>
                  <a:gs pos="0">
                    <a:schemeClr val="accent3">
                      <a:lumMod val="60000"/>
                      <a:tint val="50000"/>
                      <a:satMod val="300000"/>
                    </a:schemeClr>
                  </a:gs>
                  <a:gs pos="35000">
                    <a:schemeClr val="accent3">
                      <a:lumMod val="60000"/>
                      <a:tint val="37000"/>
                      <a:satMod val="300000"/>
                    </a:schemeClr>
                  </a:gs>
                  <a:gs pos="100000">
                    <a:schemeClr val="accent3">
                      <a:lumMod val="60000"/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3">
                    <a:lumMod val="60000"/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5-CEA6-4779-9645-CA924E312695}"/>
              </c:ext>
            </c:extLst>
          </c:dPt>
          <c:dPt>
            <c:idx val="9"/>
            <c:bubble3D val="0"/>
            <c:spPr>
              <a:gradFill rotWithShape="1">
                <a:gsLst>
                  <a:gs pos="0">
                    <a:schemeClr val="accent4">
                      <a:lumMod val="60000"/>
                      <a:tint val="50000"/>
                      <a:satMod val="300000"/>
                    </a:schemeClr>
                  </a:gs>
                  <a:gs pos="35000">
                    <a:schemeClr val="accent4">
                      <a:lumMod val="60000"/>
                      <a:tint val="37000"/>
                      <a:satMod val="300000"/>
                    </a:schemeClr>
                  </a:gs>
                  <a:gs pos="100000">
                    <a:schemeClr val="accent4">
                      <a:lumMod val="60000"/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4">
                    <a:lumMod val="60000"/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7-CEA6-4779-9645-CA924E31269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'Pivot Tables - Visuals'!$A$4:$A$14</c:f>
              <c:strCache>
                <c:ptCount val="10"/>
                <c:pt idx="0">
                  <c:v>Aquila</c:v>
                </c:pt>
                <c:pt idx="1">
                  <c:v>Callisto</c:v>
                </c:pt>
                <c:pt idx="2">
                  <c:v>Cassiopeia</c:v>
                </c:pt>
                <c:pt idx="3">
                  <c:v>Cedar</c:v>
                </c:pt>
                <c:pt idx="4">
                  <c:v>Fir</c:v>
                </c:pt>
                <c:pt idx="5">
                  <c:v>Jack Pine</c:v>
                </c:pt>
                <c:pt idx="6">
                  <c:v>Lyra</c:v>
                </c:pt>
                <c:pt idx="7">
                  <c:v>Polaris</c:v>
                </c:pt>
                <c:pt idx="8">
                  <c:v>Red Pine</c:v>
                </c:pt>
                <c:pt idx="9">
                  <c:v>Revontulet</c:v>
                </c:pt>
              </c:strCache>
            </c:strRef>
          </c:cat>
          <c:val>
            <c:numRef>
              <c:f>'Pivot Tables - Visuals'!$C$4:$C$14</c:f>
              <c:numCache>
                <c:formatCode>General</c:formatCode>
                <c:ptCount val="10"/>
                <c:pt idx="0">
                  <c:v>4</c:v>
                </c:pt>
                <c:pt idx="1">
                  <c:v>11</c:v>
                </c:pt>
                <c:pt idx="2">
                  <c:v>12</c:v>
                </c:pt>
                <c:pt idx="3">
                  <c:v>2</c:v>
                </c:pt>
                <c:pt idx="4">
                  <c:v>4</c:v>
                </c:pt>
                <c:pt idx="5">
                  <c:v>8</c:v>
                </c:pt>
                <c:pt idx="6">
                  <c:v>2</c:v>
                </c:pt>
                <c:pt idx="7">
                  <c:v>8</c:v>
                </c:pt>
                <c:pt idx="8">
                  <c:v>8</c:v>
                </c:pt>
                <c:pt idx="9">
                  <c:v>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9-4448-47DA-95E2-EA2CAE05CA0B}"/>
            </c:ext>
          </c:extLst>
        </c:ser>
        <c:dLbls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[Camp YMCA Hub (Homebase).xlsm]Pivot Tables - Visuals!PivotTable8</c:name>
    <c:fmtId val="7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tint val="50000"/>
                  <a:satMod val="300000"/>
                </a:schemeClr>
              </a:gs>
              <a:gs pos="35000">
                <a:schemeClr val="accent1">
                  <a:tint val="37000"/>
                  <a:satMod val="300000"/>
                </a:schemeClr>
              </a:gs>
              <a:gs pos="100000">
                <a:schemeClr val="accent1">
                  <a:tint val="15000"/>
                  <a:satMod val="350000"/>
                </a:schemeClr>
              </a:gs>
            </a:gsLst>
            <a:lin ang="16200000" scaled="1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>
            <a:outerShdw blurRad="40000" dist="20000" dir="5400000" rotWithShape="0">
              <a:srgbClr val="000000">
                <a:alpha val="38000"/>
              </a:srgbClr>
            </a:outerShdw>
          </a:effectLst>
          <a:sp3d contourW="9525">
            <a:contourClr>
              <a:schemeClr val="accent1">
                <a:shade val="95000"/>
              </a:schemeClr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gradFill rotWithShape="1">
            <a:gsLst>
              <a:gs pos="0">
                <a:schemeClr val="accent1">
                  <a:tint val="50000"/>
                  <a:satMod val="300000"/>
                </a:schemeClr>
              </a:gs>
              <a:gs pos="35000">
                <a:schemeClr val="accent1">
                  <a:tint val="37000"/>
                  <a:satMod val="300000"/>
                </a:schemeClr>
              </a:gs>
              <a:gs pos="100000">
                <a:schemeClr val="accent1">
                  <a:tint val="15000"/>
                  <a:satMod val="350000"/>
                </a:schemeClr>
              </a:gs>
            </a:gsLst>
            <a:lin ang="16200000" scaled="1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>
            <a:outerShdw blurRad="40000" dist="20000" dir="5400000" rotWithShape="0">
              <a:srgbClr val="000000">
                <a:alpha val="38000"/>
              </a:srgbClr>
            </a:outerShdw>
          </a:effectLst>
          <a:sp3d contourW="9525">
            <a:contourClr>
              <a:schemeClr val="accent1">
                <a:shade val="95000"/>
              </a:schemeClr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cked"/>
        <c:varyColors val="0"/>
        <c:ser>
          <c:idx val="0"/>
          <c:order val="0"/>
          <c:tx>
            <c:strRef>
              <c:f>'Pivot Tables - Visuals'!$A$30</c:f>
              <c:strCache>
                <c:ptCount val="1"/>
                <c:pt idx="0">
                  <c:v>Sum of Unused Cabins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tint val="50000"/>
                    <a:satMod val="300000"/>
                  </a:schemeClr>
                </a:gs>
                <a:gs pos="35000">
                  <a:schemeClr val="accent1">
                    <a:tint val="37000"/>
                    <a:satMod val="300000"/>
                  </a:schemeClr>
                </a:gs>
                <a:gs pos="100000">
                  <a:schemeClr val="accent1">
                    <a:tint val="15000"/>
                    <a:satMod val="350000"/>
                  </a:schemeClr>
                </a:gs>
              </a:gsLst>
              <a:lin ang="16200000" scaled="1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>
              <a:outerShdw blurRad="40000" dist="20000" dir="5400000" rotWithShape="0">
                <a:srgbClr val="000000">
                  <a:alpha val="38000"/>
                </a:srgbClr>
              </a:outerShdw>
            </a:effectLst>
            <a:sp3d contourW="9525">
              <a:contourClr>
                <a:schemeClr val="accent1">
                  <a:shade val="95000"/>
                </a:schemeClr>
              </a:contourClr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'Pivot Tables - Visuals'!$A$31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'Pivot Tables - Visuals'!$A$31</c:f>
              <c:numCache>
                <c:formatCode>0%</c:formatCode>
                <c:ptCount val="1"/>
                <c:pt idx="0">
                  <c:v>0.35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ECC-4E67-AF63-516DAD660BB7}"/>
            </c:ext>
          </c:extLst>
        </c:ser>
        <c:ser>
          <c:idx val="1"/>
          <c:order val="1"/>
          <c:tx>
            <c:strRef>
              <c:f>'Pivot Tables - Visuals'!$B$30</c:f>
              <c:strCache>
                <c:ptCount val="1"/>
                <c:pt idx="0">
                  <c:v>Sum of Current Cabin Usage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tint val="50000"/>
                    <a:satMod val="300000"/>
                  </a:schemeClr>
                </a:gs>
                <a:gs pos="35000">
                  <a:schemeClr val="accent2">
                    <a:tint val="37000"/>
                    <a:satMod val="300000"/>
                  </a:schemeClr>
                </a:gs>
                <a:gs pos="100000">
                  <a:schemeClr val="accent2">
                    <a:tint val="15000"/>
                    <a:satMod val="350000"/>
                  </a:schemeClr>
                </a:gs>
              </a:gsLst>
              <a:lin ang="16200000" scaled="1"/>
            </a:gradFill>
            <a:ln w="9525" cap="flat" cmpd="sng" algn="ctr">
              <a:solidFill>
                <a:schemeClr val="accent2">
                  <a:shade val="95000"/>
                </a:schemeClr>
              </a:solidFill>
              <a:round/>
            </a:ln>
            <a:effectLst>
              <a:outerShdw blurRad="40000" dist="20000" dir="5400000" rotWithShape="0">
                <a:srgbClr val="000000">
                  <a:alpha val="38000"/>
                </a:srgbClr>
              </a:outerShdw>
            </a:effectLst>
            <a:sp3d contourW="9525">
              <a:contourClr>
                <a:schemeClr val="accent2">
                  <a:shade val="95000"/>
                </a:schemeClr>
              </a:contourClr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'Pivot Tables - Visuals'!$A$31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'Pivot Tables - Visuals'!$B$31</c:f>
              <c:numCache>
                <c:formatCode>0%</c:formatCode>
                <c:ptCount val="1"/>
                <c:pt idx="0">
                  <c:v>0.65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ECC-4E67-AF63-516DAD660BB7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851574864"/>
        <c:axId val="851583024"/>
        <c:axId val="0"/>
      </c:bar3DChart>
      <c:catAx>
        <c:axId val="851574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1583024"/>
        <c:crosses val="autoZero"/>
        <c:auto val="1"/>
        <c:lblAlgn val="ctr"/>
        <c:lblOffset val="100"/>
        <c:noMultiLvlLbl val="0"/>
      </c:catAx>
      <c:valAx>
        <c:axId val="851583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15748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Revenue by Scenario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9814129483814524"/>
          <c:y val="0.15590026246719157"/>
          <c:w val="0.57072025371828516"/>
          <c:h val="0.55315870516185472"/>
        </c:manualLayout>
      </c:layout>
      <c:barChart>
        <c:barDir val="col"/>
        <c:grouping val="clustered"/>
        <c:varyColors val="0"/>
        <c:ser>
          <c:idx val="0"/>
          <c:order val="0"/>
          <c:tx>
            <c:v>Total Revenue</c:v>
          </c:tx>
          <c:invertIfNegative val="0"/>
          <c:cat>
            <c:strRef>
              <c:f>'Scenario Testing'!$A$2:$A$5</c:f>
              <c:strCache>
                <c:ptCount val="4"/>
                <c:pt idx="0">
                  <c:v>Small Partnership</c:v>
                </c:pt>
                <c:pt idx="1">
                  <c:v>Medium Partnership</c:v>
                </c:pt>
                <c:pt idx="2">
                  <c:v>Large Partnership</c:v>
                </c:pt>
                <c:pt idx="3">
                  <c:v>Full Capacity Attempt</c:v>
                </c:pt>
              </c:strCache>
            </c:strRef>
          </c:cat>
          <c:val>
            <c:numRef>
              <c:f>'Scenario Testing'!$C$2:$C$5</c:f>
              <c:numCache>
                <c:formatCode>_("$"* #,##0_);_("$"* \(#,##0\);_("$"* "-"??_);_(@_)</c:formatCode>
                <c:ptCount val="4"/>
                <c:pt idx="0">
                  <c:v>15089.285714285714</c:v>
                </c:pt>
                <c:pt idx="1">
                  <c:v>30178.571428571428</c:v>
                </c:pt>
                <c:pt idx="2">
                  <c:v>45267.857142857145</c:v>
                </c:pt>
                <c:pt idx="3">
                  <c:v>60357.142857142855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5D-4805-83C2-09376FAC91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010001"/>
        <c:axId val="50010002"/>
      </c:barChart>
      <c:catAx>
        <c:axId val="5001000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Scenario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crossAx val="50010002"/>
        <c:crosses val="autoZero"/>
        <c:auto val="1"/>
        <c:lblAlgn val="ctr"/>
        <c:lblOffset val="100"/>
        <c:noMultiLvlLbl val="0"/>
      </c:catAx>
      <c:valAx>
        <c:axId val="5001000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Revenue ($)</a:t>
                </a:r>
              </a:p>
            </c:rich>
          </c:tx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50010001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4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/>
    <cs:fillRef idx="2">
      <cs:styleClr val="auto"/>
    </cs:fillRef>
    <cs:effectRef idx="1"/>
    <cs:fontRef idx="minor">
      <a:schemeClr val="dk1"/>
    </cs:fontRef>
    <cs:spPr/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89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Scroll" dx="31" fmlaLink="'Partnership List'!$M$29" max="25" min="1" page="10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562429</xdr:colOff>
      <xdr:row>16</xdr:row>
      <xdr:rowOff>41620</xdr:rowOff>
    </xdr:from>
    <xdr:to>
      <xdr:col>14</xdr:col>
      <xdr:colOff>1342571</xdr:colOff>
      <xdr:row>39</xdr:row>
      <xdr:rowOff>66167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6CDF27D2-413E-4D5A-A13F-C9D5F3E912F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246529</xdr:colOff>
      <xdr:row>16</xdr:row>
      <xdr:rowOff>7471</xdr:rowOff>
    </xdr:from>
    <xdr:to>
      <xdr:col>9</xdr:col>
      <xdr:colOff>326570</xdr:colOff>
      <xdr:row>39</xdr:row>
      <xdr:rowOff>59764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C76AED1C-DEC7-447F-9D7A-246790CFCF3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85725</xdr:colOff>
          <xdr:row>3</xdr:row>
          <xdr:rowOff>66675</xdr:rowOff>
        </xdr:from>
        <xdr:to>
          <xdr:col>18</xdr:col>
          <xdr:colOff>400050</xdr:colOff>
          <xdr:row>7</xdr:row>
          <xdr:rowOff>85725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0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Visuals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</xdr:colOff>
          <xdr:row>55</xdr:row>
          <xdr:rowOff>142875</xdr:rowOff>
        </xdr:from>
        <xdr:to>
          <xdr:col>3</xdr:col>
          <xdr:colOff>238125</xdr:colOff>
          <xdr:row>63</xdr:row>
          <xdr:rowOff>314325</xdr:rowOff>
        </xdr:to>
        <xdr:sp macro="" textlink="">
          <xdr:nvSpPr>
            <xdr:cNvPr id="6153" name="Scroll Bar 9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0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9</xdr:col>
      <xdr:colOff>589642</xdr:colOff>
      <xdr:row>50</xdr:row>
      <xdr:rowOff>18143</xdr:rowOff>
    </xdr:from>
    <xdr:to>
      <xdr:col>14</xdr:col>
      <xdr:colOff>1342572</xdr:colOff>
      <xdr:row>61</xdr:row>
      <xdr:rowOff>362856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E543556C-45E4-4B21-8B8B-9D91919C0C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18135</xdr:colOff>
      <xdr:row>5</xdr:row>
      <xdr:rowOff>117609</xdr:rowOff>
    </xdr:from>
    <xdr:to>
      <xdr:col>10</xdr:col>
      <xdr:colOff>223194</xdr:colOff>
      <xdr:row>9</xdr:row>
      <xdr:rowOff>61512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CAF45049-59D7-7FA7-7A89-F66F43860AAB}"/>
            </a:ext>
          </a:extLst>
        </xdr:cNvPr>
        <xdr:cNvSpPr/>
      </xdr:nvSpPr>
      <xdr:spPr>
        <a:xfrm>
          <a:off x="10374985" y="1044709"/>
          <a:ext cx="1633809" cy="680503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Change the</a:t>
          </a:r>
          <a:r>
            <a:rPr lang="en-US" sz="1100" baseline="0"/>
            <a:t> projected group size before running solver. </a:t>
          </a:r>
          <a:endParaRPr lang="en-US" sz="1100"/>
        </a:p>
      </xdr:txBody>
    </xdr:sp>
    <xdr:clientData/>
  </xdr:twoCellAnchor>
  <xdr:twoCellAnchor editAs="oneCell">
    <xdr:from>
      <xdr:col>0</xdr:col>
      <xdr:colOff>12700</xdr:colOff>
      <xdr:row>17</xdr:row>
      <xdr:rowOff>171450</xdr:rowOff>
    </xdr:from>
    <xdr:to>
      <xdr:col>4</xdr:col>
      <xdr:colOff>965200</xdr:colOff>
      <xdr:row>37</xdr:row>
      <xdr:rowOff>44450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481CBE89-74C4-D9CB-F740-35C6A05EB9F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" y="3308350"/>
          <a:ext cx="5943600" cy="3556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191517</xdr:colOff>
      <xdr:row>0</xdr:row>
      <xdr:rowOff>72669</xdr:rowOff>
    </xdr:from>
    <xdr:to>
      <xdr:col>12</xdr:col>
      <xdr:colOff>492380</xdr:colOff>
      <xdr:row>9</xdr:row>
      <xdr:rowOff>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4F5185A8-0D4D-3D7E-B73C-757CB4B4A1AF}"/>
            </a:ext>
          </a:extLst>
        </xdr:cNvPr>
        <xdr:cNvSpPr/>
      </xdr:nvSpPr>
      <xdr:spPr>
        <a:xfrm>
          <a:off x="6726244" y="72669"/>
          <a:ext cx="7562954" cy="1670695"/>
        </a:xfrm>
        <a:prstGeom prst="roundRect">
          <a:avLst/>
        </a:prstGeom>
        <a:solidFill>
          <a:sysClr val="window" lastClr="FFFF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000" b="1" u="sng">
              <a:solidFill>
                <a:sysClr val="windowText" lastClr="000000"/>
              </a:solidFill>
            </a:rPr>
            <a:t>Score</a:t>
          </a:r>
          <a:r>
            <a:rPr lang="en-US" sz="1000" u="sng">
              <a:solidFill>
                <a:sysClr val="windowText" lastClr="000000"/>
              </a:solidFill>
            </a:rPr>
            <a:t> </a:t>
          </a:r>
          <a:r>
            <a:rPr lang="en-US" sz="1000" b="1" u="sng">
              <a:solidFill>
                <a:sysClr val="windowText" lastClr="000000"/>
              </a:solidFill>
            </a:rPr>
            <a:t>Label</a:t>
          </a:r>
          <a:r>
            <a:rPr lang="en-US" sz="1000" u="sng">
              <a:solidFill>
                <a:sysClr val="windowText" lastClr="000000"/>
              </a:solidFill>
            </a:rPr>
            <a:t> </a:t>
          </a:r>
          <a:r>
            <a:rPr lang="en-US" sz="1000" b="1" u="sng">
              <a:solidFill>
                <a:sysClr val="windowText" lastClr="000000"/>
              </a:solidFill>
            </a:rPr>
            <a:t>Interpretation</a:t>
          </a:r>
          <a:r>
            <a:rPr lang="en-US" sz="1000" u="sng">
              <a:solidFill>
                <a:sysClr val="windowText" lastClr="000000"/>
              </a:solidFill>
            </a:rPr>
            <a:t> </a:t>
          </a:r>
          <a:r>
            <a:rPr lang="en-US" sz="1000" b="1" u="sng">
              <a:solidFill>
                <a:sysClr val="windowText" lastClr="000000"/>
              </a:solidFill>
            </a:rPr>
            <a:t>Suggested Action</a:t>
          </a:r>
          <a:r>
            <a:rPr lang="en-US" sz="1000" u="sng">
              <a:solidFill>
                <a:sysClr val="windowText" lastClr="000000"/>
              </a:solidFill>
            </a:rPr>
            <a:t> </a:t>
          </a:r>
        </a:p>
        <a:p>
          <a:pPr algn="l"/>
          <a:r>
            <a:rPr lang="en-US" sz="1000">
              <a:solidFill>
                <a:sysClr val="windowText" lastClr="000000"/>
              </a:solidFill>
            </a:rPr>
            <a:t>9–10 🔥 Highly Engaged Partner - is very responsive, aligned with mission, and ready to move forward. Proceed to proposal, schedule next steps. </a:t>
          </a:r>
        </a:p>
        <a:p>
          <a:pPr algn="l"/>
          <a:r>
            <a:rPr lang="en-US" sz="1000">
              <a:solidFill>
                <a:sysClr val="windowText" lastClr="000000"/>
              </a:solidFill>
            </a:rPr>
            <a:t>7–8 ✅ Strong Interest</a:t>
          </a:r>
          <a:r>
            <a:rPr lang="en-US" sz="1000" baseline="0">
              <a:solidFill>
                <a:sysClr val="windowText" lastClr="000000"/>
              </a:solidFill>
            </a:rPr>
            <a:t> - </a:t>
          </a:r>
          <a:r>
            <a:rPr lang="en-US" sz="1000">
              <a:solidFill>
                <a:sysClr val="windowText" lastClr="000000"/>
              </a:solidFill>
            </a:rPr>
            <a:t>Positive signals, some engagement, but may need a follow-up to confirm commitment. Send check-in email with clear call to action. </a:t>
          </a:r>
        </a:p>
        <a:p>
          <a:pPr algn="l"/>
          <a:r>
            <a:rPr lang="en-US" sz="1000">
              <a:solidFill>
                <a:sysClr val="windowText" lastClr="000000"/>
              </a:solidFill>
            </a:rPr>
            <a:t>5–6 🟡 Lukewarm - Some initial interest, but low recent engagement or unclear next steps. Re-engage with targeted messaging. </a:t>
          </a:r>
        </a:p>
        <a:p>
          <a:pPr algn="l"/>
          <a:r>
            <a:rPr lang="en-US" sz="1000">
              <a:solidFill>
                <a:sysClr val="windowText" lastClr="000000"/>
              </a:solidFill>
            </a:rPr>
            <a:t>3–4 ❄️ Cold Lead - Limited response, unclear interest, or no progress after initial contact. One last outreach, then consider archiving. </a:t>
          </a:r>
        </a:p>
        <a:p>
          <a:pPr algn="l"/>
          <a:r>
            <a:rPr lang="en-US" sz="1000">
              <a:solidFill>
                <a:sysClr val="windowText" lastClr="000000"/>
              </a:solidFill>
            </a:rPr>
            <a:t>1–2 🚫 Not Ready/Disengaged - No response or clear signals of disinterest. Archive or deprioritize. 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416717</xdr:colOff>
      <xdr:row>1</xdr:row>
      <xdr:rowOff>40449</xdr:rowOff>
    </xdr:from>
    <xdr:to>
      <xdr:col>10</xdr:col>
      <xdr:colOff>820209</xdr:colOff>
      <xdr:row>17</xdr:row>
      <xdr:rowOff>30737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F82AC06-9373-4C17-B119-AA0BE99223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304426</xdr:colOff>
      <xdr:row>5</xdr:row>
      <xdr:rowOff>95250</xdr:rowOff>
    </xdr:from>
    <xdr:to>
      <xdr:col>2</xdr:col>
      <xdr:colOff>336176</xdr:colOff>
      <xdr:row>7</xdr:row>
      <xdr:rowOff>63500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D12EF712-FD8D-4FBD-9A66-1EEBA435AAA9}"/>
            </a:ext>
          </a:extLst>
        </xdr:cNvPr>
        <xdr:cNvSpPr/>
      </xdr:nvSpPr>
      <xdr:spPr>
        <a:xfrm>
          <a:off x="304426" y="1036544"/>
          <a:ext cx="3789456" cy="341780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Use</a:t>
          </a:r>
          <a:r>
            <a:rPr lang="en-US" sz="1100" baseline="0"/>
            <a:t> this table above as a reference (hypothetical scenarios)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Khang Lai" refreshedDate="46218.591733796296" createdVersion="8" refreshedVersion="8" minRefreshableVersion="3" recordCount="1" xr:uid="{4588082C-7747-4A8A-AA43-99E6111CA895}">
  <cacheSource type="worksheet">
    <worksheetSource ref="K63:L64" sheet="Homebase"/>
  </cacheSource>
  <cacheFields count="2">
    <cacheField name="Current Cabin Usage" numFmtId="9">
      <sharedItems containsSemiMixedTypes="0" containsString="0" containsNumber="1" minValue="0.65" maxValue="0.65"/>
    </cacheField>
    <cacheField name="Unused Cabins" numFmtId="9">
      <sharedItems containsSemiMixedTypes="0" containsString="0" containsNumber="1" minValue="0.35" maxValue="0.3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Khang Lai" refreshedDate="46218.591733912035" createdVersion="8" refreshedVersion="8" minRefreshableVersion="3" recordCount="10" xr:uid="{0CE1A083-15F5-49F9-B8AC-777DB6F08926}">
  <cacheSource type="worksheet">
    <worksheetSource ref="A1:H11" sheet="Optimization"/>
  </cacheSource>
  <cacheFields count="8">
    <cacheField name="Cabin" numFmtId="0">
      <sharedItems count="10">
        <s v="Revontulet"/>
        <s v="Cassiopeia"/>
        <s v="Callisto"/>
        <s v="Polaris"/>
        <s v="Jack Pine"/>
        <s v="Red Pine"/>
        <s v="Fir"/>
        <s v="Lyra"/>
        <s v="Aquila"/>
        <s v="Cedar"/>
      </sharedItems>
    </cacheField>
    <cacheField name="Capacity" numFmtId="0">
      <sharedItems containsSemiMixedTypes="0" containsString="0" containsNumber="1" containsInteger="1" minValue="2" maxValue="16"/>
    </cacheField>
    <cacheField name="Rate per Night" numFmtId="0">
      <sharedItems containsSemiMixedTypes="0" containsString="0" containsNumber="1" containsInteger="1" minValue="200" maxValue="675"/>
    </cacheField>
    <cacheField name="Nights" numFmtId="0">
      <sharedItems containsSemiMixedTypes="0" containsString="0" containsNumber="1" containsInteger="1" minValue="1" maxValue="1"/>
    </cacheField>
    <cacheField name="Units Available (Linked)" numFmtId="0">
      <sharedItems containsSemiMixedTypes="0" containsString="0" containsNumber="1" containsInteger="1" minValue="1" maxValue="1"/>
    </cacheField>
    <cacheField name="Units Used (0-1)" numFmtId="165">
      <sharedItems containsSemiMixedTypes="0" containsString="0" containsNumber="1" minValue="0" maxValue="1"/>
    </cacheField>
    <cacheField name="People Assigned" numFmtId="0">
      <sharedItems containsSemiMixedTypes="0" containsString="0" containsNumber="1" containsInteger="1" minValue="0" maxValue="11"/>
    </cacheField>
    <cacheField name="Revenue" numFmtId="164">
      <sharedItems containsSemiMixedTypes="0" containsString="0" containsNumber="1" minValue="0" maxValue="51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n v="0.65"/>
    <n v="0.35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">
  <r>
    <x v="0"/>
    <n v="16"/>
    <n v="675"/>
    <n v="1"/>
    <n v="1"/>
    <n v="0"/>
    <n v="0"/>
    <n v="0"/>
  </r>
  <r>
    <x v="1"/>
    <n v="12"/>
    <n v="540"/>
    <n v="1"/>
    <n v="1"/>
    <n v="0"/>
    <n v="0"/>
    <n v="0"/>
  </r>
  <r>
    <x v="2"/>
    <n v="11"/>
    <n v="515"/>
    <n v="1"/>
    <n v="1"/>
    <n v="1"/>
    <n v="11"/>
    <n v="515"/>
  </r>
  <r>
    <x v="3"/>
    <n v="8"/>
    <n v="430"/>
    <n v="1"/>
    <n v="1"/>
    <n v="1"/>
    <n v="8"/>
    <n v="430"/>
  </r>
  <r>
    <x v="4"/>
    <n v="8"/>
    <n v="365"/>
    <n v="1"/>
    <n v="1"/>
    <n v="0.5"/>
    <n v="4"/>
    <n v="182.5"/>
  </r>
  <r>
    <x v="5"/>
    <n v="8"/>
    <n v="365"/>
    <n v="1"/>
    <n v="1"/>
    <n v="0"/>
    <n v="0"/>
    <n v="0"/>
  </r>
  <r>
    <x v="6"/>
    <n v="4"/>
    <n v="315"/>
    <n v="1"/>
    <n v="1"/>
    <n v="1"/>
    <n v="4"/>
    <n v="315"/>
  </r>
  <r>
    <x v="7"/>
    <n v="2"/>
    <n v="200"/>
    <n v="1"/>
    <n v="1"/>
    <n v="1"/>
    <n v="2"/>
    <n v="200"/>
  </r>
  <r>
    <x v="8"/>
    <n v="4"/>
    <n v="270"/>
    <n v="1"/>
    <n v="1"/>
    <n v="1"/>
    <n v="4"/>
    <n v="270"/>
  </r>
  <r>
    <x v="9"/>
    <n v="2"/>
    <n v="200"/>
    <n v="1"/>
    <n v="1"/>
    <n v="1"/>
    <n v="2"/>
    <n v="2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6093CE-93BB-482A-A830-2EE1DA17804F}" name="PivotTable10" cacheId="1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17:D28" firstHeaderRow="0" firstDataRow="1" firstDataCol="1"/>
  <pivotFields count="8">
    <pivotField axis="axisRow" showAll="0">
      <items count="11">
        <item x="8"/>
        <item x="2"/>
        <item x="1"/>
        <item x="9"/>
        <item x="6"/>
        <item x="4"/>
        <item x="7"/>
        <item x="3"/>
        <item x="5"/>
        <item x="0"/>
        <item t="default"/>
      </items>
    </pivotField>
    <pivotField showAll="0"/>
    <pivotField showAll="0"/>
    <pivotField showAll="0"/>
    <pivotField dataField="1" showAll="0"/>
    <pivotField dataField="1" showAll="0"/>
    <pivotField dataField="1" showAll="0"/>
    <pivotField numFmtId="164" showAll="0"/>
  </pivotFields>
  <rowFields count="1">
    <field x="0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People Assigned" fld="6" baseField="0" baseItem="0"/>
    <dataField name="Sum of Units Used (0-1)" fld="5" baseField="0" baseItem="0"/>
    <dataField name="Sum of Units Available (Linked)" fld="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4119F13-7743-4A30-AE4C-E6B5D6829329}" name="PivotTable8" cacheId="8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9">
  <location ref="A30:B31" firstHeaderRow="0" firstDataRow="1" firstDataCol="0"/>
  <pivotFields count="2">
    <pivotField dataField="1" numFmtId="9" showAll="0"/>
    <pivotField dataField="1" numFmtId="9" showAll="0"/>
  </pivotFields>
  <rowItems count="1">
    <i/>
  </rowItems>
  <colFields count="1">
    <field x="-2"/>
  </colFields>
  <colItems count="2">
    <i>
      <x/>
    </i>
    <i i="1">
      <x v="1"/>
    </i>
  </colItems>
  <dataFields count="2">
    <dataField name="Sum of Unused Cabins" fld="1" baseField="0" baseItem="0" numFmtId="9"/>
    <dataField name="Sum of Current Cabin Usage" fld="0" baseField="0" baseItem="0" numFmtId="9"/>
  </dataFields>
  <chartFormats count="2">
    <chartFormat chart="7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574E66-8FCC-4832-8B8A-16BAEA4CC6EC}" name="PivotTable4" cacheId="1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27">
  <location ref="A3:C14" firstHeaderRow="0" firstDataRow="1" firstDataCol="1"/>
  <pivotFields count="8">
    <pivotField axis="axisRow" showAll="0">
      <items count="11">
        <item x="8"/>
        <item x="2"/>
        <item x="1"/>
        <item x="9"/>
        <item x="6"/>
        <item x="4"/>
        <item x="7"/>
        <item x="3"/>
        <item x="5"/>
        <item x="0"/>
        <item t="default"/>
      </items>
    </pivotField>
    <pivotField dataField="1" showAll="0"/>
    <pivotField showAll="0"/>
    <pivotField showAll="0"/>
    <pivotField showAll="0"/>
    <pivotField showAll="0"/>
    <pivotField dataField="1" showAll="0"/>
    <pivotField numFmtId="164" showAll="0"/>
  </pivotFields>
  <rowFields count="1">
    <field x="0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People Assigned" fld="6" baseField="0" baseItem="0"/>
    <dataField name="Sum of Capacity" fld="1" baseField="0" baseItem="0"/>
  </dataFields>
  <chartFormats count="24">
    <chartFormat chart="3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7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7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7" format="72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7" format="73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7" format="74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7" format="75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7" format="76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7" format="77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7" format="78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7" format="79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7" format="80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7" format="9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1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7" format="98">
      <pivotArea type="data" outline="0" fieldPosition="0">
        <references count="2">
          <reference field="4294967294" count="1" selected="0">
            <x v="1"/>
          </reference>
          <reference field="0" count="1" selected="0">
            <x v="0"/>
          </reference>
        </references>
      </pivotArea>
    </chartFormat>
    <chartFormat chart="7" format="99">
      <pivotArea type="data" outline="0" fieldPosition="0">
        <references count="2">
          <reference field="4294967294" count="1" selected="0">
            <x v="1"/>
          </reference>
          <reference field="0" count="1" selected="0">
            <x v="1"/>
          </reference>
        </references>
      </pivotArea>
    </chartFormat>
    <chartFormat chart="7" format="100">
      <pivotArea type="data" outline="0" fieldPosition="0">
        <references count="2">
          <reference field="4294967294" count="1" selected="0">
            <x v="1"/>
          </reference>
          <reference field="0" count="1" selected="0">
            <x v="2"/>
          </reference>
        </references>
      </pivotArea>
    </chartFormat>
    <chartFormat chart="7" format="101">
      <pivotArea type="data" outline="0" fieldPosition="0">
        <references count="2">
          <reference field="4294967294" count="1" selected="0">
            <x v="1"/>
          </reference>
          <reference field="0" count="1" selected="0">
            <x v="3"/>
          </reference>
        </references>
      </pivotArea>
    </chartFormat>
    <chartFormat chart="7" format="102">
      <pivotArea type="data" outline="0" fieldPosition="0">
        <references count="2">
          <reference field="4294967294" count="1" selected="0">
            <x v="1"/>
          </reference>
          <reference field="0" count="1" selected="0">
            <x v="4"/>
          </reference>
        </references>
      </pivotArea>
    </chartFormat>
    <chartFormat chart="7" format="103">
      <pivotArea type="data" outline="0" fieldPosition="0">
        <references count="2">
          <reference field="4294967294" count="1" selected="0">
            <x v="1"/>
          </reference>
          <reference field="0" count="1" selected="0">
            <x v="5"/>
          </reference>
        </references>
      </pivotArea>
    </chartFormat>
    <chartFormat chart="7" format="104">
      <pivotArea type="data" outline="0" fieldPosition="0">
        <references count="2">
          <reference field="4294967294" count="1" selected="0">
            <x v="1"/>
          </reference>
          <reference field="0" count="1" selected="0">
            <x v="6"/>
          </reference>
        </references>
      </pivotArea>
    </chartFormat>
    <chartFormat chart="7" format="105">
      <pivotArea type="data" outline="0" fieldPosition="0">
        <references count="2">
          <reference field="4294967294" count="1" selected="0">
            <x v="1"/>
          </reference>
          <reference field="0" count="1" selected="0">
            <x v="7"/>
          </reference>
        </references>
      </pivotArea>
    </chartFormat>
    <chartFormat chart="7" format="106">
      <pivotArea type="data" outline="0" fieldPosition="0">
        <references count="2">
          <reference field="4294967294" count="1" selected="0">
            <x v="1"/>
          </reference>
          <reference field="0" count="1" selected="0">
            <x v="8"/>
          </reference>
        </references>
      </pivotArea>
    </chartFormat>
    <chartFormat chart="7" format="107">
      <pivotArea type="data" outline="0" fieldPosition="0">
        <references count="2">
          <reference field="4294967294" count="1" selected="0">
            <x v="1"/>
          </reference>
          <reference field="0" count="1" selected="0">
            <x v="9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BDB0769-4E4C-48D5-BA14-F1A4446B8938}" name="Table3" displayName="Table3" ref="A11:H44" totalsRowShown="0" headerRowDxfId="9" dataDxfId="8">
  <autoFilter ref="A11:H44" xr:uid="{4BDB0769-4E4C-48D5-BA14-F1A4446B8938}"/>
  <tableColumns count="8">
    <tableColumn id="1" xr3:uid="{8CE941C8-5EB5-4871-8EA3-6018936EE5B5}" name="Partner Name" dataDxfId="7"/>
    <tableColumn id="2" xr3:uid="{336EC207-2AA0-4709-95C3-3C713AF8FD87}" name="Contact Person" dataDxfId="6"/>
    <tableColumn id="3" xr3:uid="{EA749F23-D42A-475F-A189-144478949C58}" name="Email" dataDxfId="5"/>
    <tableColumn id="4" xr3:uid="{9A5D0147-D3B9-4BE2-9035-E502FFFA727F}" name="Amount of Days Last Contacted" dataDxfId="4">
      <calculatedColumnFormula>IF(H12 = "", "Pending Readiness", $B$3 - H12)</calculatedColumnFormula>
    </tableColumn>
    <tableColumn id="5" xr3:uid="{B97F1693-C6E0-41C1-944F-FFDF3384AC68}" name="Readiness Score" dataDxfId="3"/>
    <tableColumn id="6" xr3:uid="{70AB834F-6EAA-41A3-A36E-1B085920C90F}" name="Partnership Status" dataDxfId="2"/>
    <tableColumn id="7" xr3:uid="{3E2E6237-0FC8-4829-AD94-48204C4E6DAA}" name="Follow Up Due?" dataDxfId="1">
      <calculatedColumnFormula array="1">_xlfn.IFS(
   F12="Confirmed", "NA",
   F12="Ghosted", "NO",
   D12="Pending Readiness", "Not Yet",
   D12&gt;14, "YES",
   TRUE, "NO"
)</calculatedColumnFormula>
    </tableColumn>
    <tableColumn id="8" xr3:uid="{2DB330D7-7ACE-41C0-B666-DF2CD1811622}" name="Last Contacted 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hyperlink" Target="mailto:info@wildernessinquiry.org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1BA577-D34F-43F7-B581-D41C59DEF77D}">
  <sheetPr codeName="Sheet6">
    <tabColor rgb="FF82E0AA"/>
  </sheetPr>
  <dimension ref="A2:P66"/>
  <sheetViews>
    <sheetView tabSelected="1" zoomScale="55" zoomScaleNormal="55" workbookViewId="0">
      <selection activeCell="V54" sqref="V54"/>
    </sheetView>
  </sheetViews>
  <sheetFormatPr defaultColWidth="8.7109375" defaultRowHeight="15" x14ac:dyDescent="0.25"/>
  <cols>
    <col min="1" max="1" width="5.140625" style="23" customWidth="1"/>
    <col min="2" max="2" width="11.5703125" style="23" customWidth="1"/>
    <col min="3" max="3" width="3.5703125" style="23" customWidth="1"/>
    <col min="4" max="4" width="3.5703125" style="17" customWidth="1"/>
    <col min="5" max="8" width="18.140625" style="17" customWidth="1"/>
    <col min="9" max="9" width="18.5703125" style="17" customWidth="1"/>
    <col min="10" max="10" width="5.5703125" style="17" customWidth="1"/>
    <col min="11" max="14" width="18.140625" style="17" customWidth="1"/>
    <col min="15" max="15" width="19.5703125" style="17" customWidth="1"/>
    <col min="16" max="16" width="4.28515625" style="17" customWidth="1"/>
    <col min="17" max="17" width="5.140625" style="17" customWidth="1"/>
    <col min="18" max="18" width="9.85546875" style="17" bestFit="1" customWidth="1"/>
    <col min="19" max="19" width="8.140625" style="17" bestFit="1" customWidth="1"/>
    <col min="20" max="20" width="13.42578125" style="17" bestFit="1" customWidth="1"/>
    <col min="21" max="21" width="20.5703125" style="17" bestFit="1" customWidth="1"/>
    <col min="22" max="16384" width="8.7109375" style="17"/>
  </cols>
  <sheetData>
    <row r="2" spans="1:16" x14ac:dyDescent="0.25">
      <c r="C2" s="24"/>
      <c r="D2"/>
      <c r="E2" s="18"/>
      <c r="F2" s="18"/>
      <c r="G2" s="18"/>
      <c r="H2" s="18"/>
      <c r="I2" s="18">
        <v>0</v>
      </c>
      <c r="J2" s="18"/>
      <c r="K2" s="18"/>
      <c r="L2" s="18"/>
      <c r="M2" s="18"/>
      <c r="N2" s="18"/>
      <c r="O2" s="18"/>
      <c r="P2" s="18"/>
    </row>
    <row r="3" spans="1:16" ht="14.45" customHeight="1" x14ac:dyDescent="0.25">
      <c r="A3" s="44"/>
      <c r="B3" s="44"/>
      <c r="C3" s="24"/>
      <c r="D3" s="18"/>
      <c r="E3" s="89" t="s">
        <v>117</v>
      </c>
      <c r="F3" s="89"/>
      <c r="G3" s="89" t="s">
        <v>135</v>
      </c>
      <c r="H3" s="90"/>
      <c r="I3" s="89" t="s">
        <v>136</v>
      </c>
      <c r="J3" s="90"/>
      <c r="K3" s="89" t="s">
        <v>137</v>
      </c>
      <c r="L3" s="90"/>
      <c r="M3" s="76" t="s">
        <v>16</v>
      </c>
      <c r="N3" s="76"/>
      <c r="O3" s="76"/>
      <c r="P3" s="58"/>
    </row>
    <row r="4" spans="1:16" x14ac:dyDescent="0.25">
      <c r="A4" s="44"/>
      <c r="B4" s="44"/>
      <c r="C4" s="24"/>
      <c r="D4" s="18"/>
      <c r="E4" s="89"/>
      <c r="F4" s="89"/>
      <c r="G4" s="90"/>
      <c r="H4" s="90"/>
      <c r="I4" s="90"/>
      <c r="J4" s="90"/>
      <c r="K4" s="90"/>
      <c r="L4" s="90"/>
      <c r="M4" s="76"/>
      <c r="N4" s="76"/>
      <c r="O4" s="76"/>
      <c r="P4" s="58"/>
    </row>
    <row r="5" spans="1:16" x14ac:dyDescent="0.25">
      <c r="A5" s="44"/>
      <c r="B5" s="44"/>
      <c r="C5" s="24"/>
      <c r="D5" s="18"/>
      <c r="E5" s="89"/>
      <c r="F5" s="89"/>
      <c r="G5" s="90"/>
      <c r="H5" s="90"/>
      <c r="I5" s="90"/>
      <c r="J5" s="90"/>
      <c r="K5" s="90"/>
      <c r="L5" s="90"/>
      <c r="M5" s="76"/>
      <c r="N5" s="76"/>
      <c r="O5" s="76"/>
      <c r="P5" s="18"/>
    </row>
    <row r="6" spans="1:16" ht="12.95" customHeight="1" x14ac:dyDescent="0.25">
      <c r="A6" s="44"/>
      <c r="B6" s="44"/>
      <c r="C6" s="24"/>
      <c r="D6" s="18"/>
      <c r="E6" s="92">
        <f>Optimization!K2</f>
        <v>35</v>
      </c>
      <c r="F6" s="91"/>
      <c r="G6" s="91">
        <f>Optimization!B16</f>
        <v>75</v>
      </c>
      <c r="H6" s="91"/>
      <c r="I6" s="91">
        <f>Optimization!B14</f>
        <v>35</v>
      </c>
      <c r="J6" s="91"/>
      <c r="K6" s="91">
        <f>Optimization!K4</f>
        <v>0</v>
      </c>
      <c r="L6" s="91"/>
      <c r="M6" s="77">
        <f>Optimization!B15</f>
        <v>2112.5</v>
      </c>
      <c r="N6" s="77"/>
      <c r="O6" s="77"/>
      <c r="P6" s="18"/>
    </row>
    <row r="7" spans="1:16" ht="17.100000000000001" customHeight="1" x14ac:dyDescent="0.25">
      <c r="A7" s="44"/>
      <c r="B7" s="44"/>
      <c r="C7" s="24"/>
      <c r="D7" s="18"/>
      <c r="E7" s="91"/>
      <c r="F7" s="91"/>
      <c r="G7" s="91"/>
      <c r="H7" s="91"/>
      <c r="I7" s="91"/>
      <c r="J7" s="91"/>
      <c r="K7" s="91"/>
      <c r="L7" s="91"/>
      <c r="M7" s="77"/>
      <c r="N7" s="77"/>
      <c r="O7" s="77"/>
      <c r="P7" s="18"/>
    </row>
    <row r="8" spans="1:16" ht="14.1" customHeight="1" x14ac:dyDescent="0.25">
      <c r="A8" s="44"/>
      <c r="E8" s="19"/>
      <c r="F8" s="19"/>
    </row>
    <row r="9" spans="1:16" x14ac:dyDescent="0.25">
      <c r="A9" s="44"/>
      <c r="B9" s="44"/>
      <c r="C9" s="24"/>
      <c r="D9" s="18"/>
      <c r="E9" s="18"/>
      <c r="F9" s="18"/>
      <c r="G9" s="18"/>
      <c r="H9" s="18"/>
      <c r="I9" s="18"/>
      <c r="J9" s="18"/>
      <c r="K9" s="18"/>
      <c r="L9" s="18"/>
      <c r="M9" s="18"/>
      <c r="N9" s="18"/>
      <c r="O9" s="18"/>
      <c r="P9" s="18"/>
    </row>
    <row r="10" spans="1:16" ht="14.45" customHeight="1" x14ac:dyDescent="0.25">
      <c r="B10" s="44"/>
      <c r="C10" s="24"/>
      <c r="D10" s="18"/>
      <c r="E10" s="93" t="s">
        <v>230</v>
      </c>
      <c r="F10" s="93"/>
      <c r="G10" s="93"/>
      <c r="H10" s="93"/>
      <c r="I10" s="93"/>
      <c r="J10" s="72"/>
      <c r="K10" s="93" t="s">
        <v>130</v>
      </c>
      <c r="L10" s="93"/>
      <c r="M10" s="93"/>
      <c r="N10" s="93"/>
      <c r="O10" s="93"/>
      <c r="P10" s="18"/>
    </row>
    <row r="11" spans="1:16" ht="14.45" customHeight="1" x14ac:dyDescent="0.25">
      <c r="C11" s="24"/>
      <c r="D11" s="18"/>
      <c r="E11" s="93"/>
      <c r="F11" s="93"/>
      <c r="G11" s="93"/>
      <c r="H11" s="93"/>
      <c r="I11" s="93"/>
      <c r="J11" s="72"/>
      <c r="K11" s="93"/>
      <c r="L11" s="93"/>
      <c r="M11" s="93"/>
      <c r="N11" s="93"/>
      <c r="O11" s="93"/>
      <c r="P11" s="18"/>
    </row>
    <row r="12" spans="1:16" ht="14.45" customHeight="1" x14ac:dyDescent="0.25">
      <c r="C12" s="24"/>
      <c r="D12" s="18"/>
      <c r="E12" s="93"/>
      <c r="F12" s="93"/>
      <c r="G12" s="93"/>
      <c r="H12" s="93"/>
      <c r="I12" s="93"/>
      <c r="J12" s="72"/>
      <c r="K12" s="93"/>
      <c r="L12" s="93"/>
      <c r="M12" s="93"/>
      <c r="N12" s="93"/>
      <c r="O12" s="93"/>
      <c r="P12" s="18"/>
    </row>
    <row r="13" spans="1:16" ht="14.45" customHeight="1" x14ac:dyDescent="0.25">
      <c r="C13" s="24"/>
      <c r="D13" s="18"/>
      <c r="E13" s="93"/>
      <c r="F13" s="93"/>
      <c r="G13" s="93"/>
      <c r="H13" s="93"/>
      <c r="I13" s="93"/>
      <c r="J13" s="72"/>
      <c r="K13" s="93"/>
      <c r="L13" s="93"/>
      <c r="M13" s="93"/>
      <c r="N13" s="93"/>
      <c r="O13" s="93"/>
      <c r="P13" s="18"/>
    </row>
    <row r="14" spans="1:16" ht="14.45" customHeight="1" x14ac:dyDescent="0.25">
      <c r="C14" s="24"/>
      <c r="D14" s="18"/>
      <c r="E14" s="93"/>
      <c r="F14" s="93"/>
      <c r="G14" s="93"/>
      <c r="H14" s="93"/>
      <c r="I14" s="93"/>
      <c r="J14" s="72"/>
      <c r="K14" s="93"/>
      <c r="L14" s="93"/>
      <c r="M14" s="93"/>
      <c r="N14" s="93"/>
      <c r="O14" s="93"/>
      <c r="P14" s="18"/>
    </row>
    <row r="15" spans="1:16" x14ac:dyDescent="0.25">
      <c r="C15" s="24"/>
      <c r="D15" s="18"/>
      <c r="E15" s="71"/>
      <c r="F15" s="71"/>
      <c r="G15" s="71"/>
      <c r="H15" s="71"/>
      <c r="I15" s="71"/>
      <c r="J15" s="20"/>
      <c r="K15" s="93"/>
      <c r="L15" s="93"/>
      <c r="M15" s="93"/>
      <c r="N15" s="93"/>
      <c r="O15" s="93"/>
      <c r="P15" s="18"/>
    </row>
    <row r="16" spans="1:16" x14ac:dyDescent="0.25">
      <c r="C16" s="24"/>
      <c r="D16" s="18"/>
      <c r="E16" s="71"/>
      <c r="F16" s="71"/>
      <c r="G16" s="71"/>
      <c r="H16" s="71"/>
      <c r="I16" s="71"/>
      <c r="J16" s="20"/>
      <c r="K16" s="20"/>
      <c r="L16" s="20"/>
      <c r="M16" s="20"/>
      <c r="N16" s="20"/>
      <c r="O16" s="20"/>
      <c r="P16" s="18"/>
    </row>
    <row r="17" spans="3:16" x14ac:dyDescent="0.25">
      <c r="C17" s="24"/>
      <c r="D17" s="18"/>
      <c r="E17" s="18"/>
      <c r="F17" s="18"/>
      <c r="G17" s="18"/>
      <c r="H17" s="18"/>
      <c r="I17" s="18"/>
      <c r="J17" s="18"/>
      <c r="K17" s="18"/>
      <c r="L17" s="18"/>
      <c r="M17" s="18"/>
      <c r="N17" s="18"/>
      <c r="O17" s="18"/>
      <c r="P17" s="18"/>
    </row>
    <row r="18" spans="3:16" x14ac:dyDescent="0.25">
      <c r="C18" s="24"/>
      <c r="D18" s="18"/>
      <c r="E18" s="18"/>
      <c r="F18" s="18"/>
      <c r="G18" s="18"/>
      <c r="H18" s="18"/>
      <c r="I18" s="18"/>
      <c r="J18" s="18"/>
      <c r="K18" s="18"/>
      <c r="L18" s="18"/>
      <c r="M18" s="18"/>
      <c r="N18" s="18"/>
      <c r="O18" s="18"/>
      <c r="P18" s="18"/>
    </row>
    <row r="19" spans="3:16" x14ac:dyDescent="0.25">
      <c r="C19" s="24"/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</row>
    <row r="20" spans="3:16" x14ac:dyDescent="0.25">
      <c r="C20" s="24"/>
      <c r="D20" s="18"/>
      <c r="E20" s="18"/>
      <c r="F20" s="18"/>
      <c r="G20" s="18"/>
      <c r="H20" s="18"/>
      <c r="I20" s="18"/>
      <c r="J20" s="18"/>
      <c r="K20" s="18"/>
      <c r="L20" s="18"/>
      <c r="M20" s="18"/>
      <c r="N20" s="18"/>
      <c r="O20" s="18"/>
      <c r="P20" s="18"/>
    </row>
    <row r="21" spans="3:16" x14ac:dyDescent="0.25">
      <c r="C21" s="24"/>
      <c r="D21" s="18"/>
      <c r="E21" s="18"/>
      <c r="F21" s="18"/>
      <c r="G21" s="18"/>
      <c r="H21" s="18"/>
      <c r="I21" s="18"/>
      <c r="J21" s="18"/>
      <c r="K21" s="18"/>
      <c r="L21" s="18"/>
      <c r="M21" s="18"/>
      <c r="N21" s="18"/>
      <c r="O21" s="18"/>
      <c r="P21" s="18"/>
    </row>
    <row r="22" spans="3:16" x14ac:dyDescent="0.25">
      <c r="C22" s="24"/>
      <c r="D22" s="18"/>
      <c r="E22" s="18"/>
      <c r="F22" s="18"/>
      <c r="G22" s="18"/>
      <c r="H22" s="18"/>
      <c r="I22" s="18"/>
      <c r="J22" s="18"/>
      <c r="K22" s="18"/>
      <c r="L22" s="18"/>
      <c r="M22" s="18"/>
      <c r="N22" s="18"/>
      <c r="O22" s="18"/>
      <c r="P22" s="18"/>
    </row>
    <row r="23" spans="3:16" x14ac:dyDescent="0.25">
      <c r="C23" s="24"/>
      <c r="D23" s="18"/>
      <c r="E23" s="18"/>
      <c r="F23" s="18"/>
      <c r="G23" s="18"/>
      <c r="H23" s="18"/>
      <c r="I23" s="18"/>
      <c r="J23" s="18"/>
      <c r="K23" s="18"/>
      <c r="L23" s="18"/>
      <c r="M23" s="18"/>
      <c r="N23" s="18"/>
      <c r="O23" s="18"/>
      <c r="P23" s="18"/>
    </row>
    <row r="24" spans="3:16" x14ac:dyDescent="0.25">
      <c r="C24" s="24"/>
      <c r="D24" s="18"/>
      <c r="E24" s="18"/>
      <c r="F24" s="18"/>
      <c r="G24" s="18"/>
      <c r="H24" s="18"/>
      <c r="I24" s="18"/>
      <c r="J24" s="18"/>
      <c r="K24" s="18"/>
      <c r="L24" s="18"/>
      <c r="M24" s="18"/>
      <c r="N24" s="18"/>
      <c r="O24" s="18"/>
      <c r="P24" s="18"/>
    </row>
    <row r="25" spans="3:16" x14ac:dyDescent="0.25">
      <c r="C25" s="24"/>
      <c r="D25" s="18"/>
      <c r="E25" s="18"/>
      <c r="F25" s="18"/>
      <c r="G25" s="18"/>
      <c r="H25" s="18"/>
      <c r="I25" s="18"/>
      <c r="J25" s="18"/>
      <c r="K25" s="18"/>
      <c r="L25" s="18"/>
      <c r="M25" s="18"/>
      <c r="N25" s="18"/>
      <c r="O25" s="18"/>
      <c r="P25" s="18"/>
    </row>
    <row r="26" spans="3:16" x14ac:dyDescent="0.25">
      <c r="C26" s="24"/>
      <c r="D26" s="18"/>
      <c r="E26" s="18"/>
      <c r="F26" s="18"/>
      <c r="G26" s="18"/>
      <c r="H26" s="18"/>
      <c r="I26" s="18"/>
      <c r="J26" s="18"/>
      <c r="K26" s="18"/>
      <c r="L26" s="18"/>
      <c r="M26" s="18"/>
      <c r="N26" s="18"/>
      <c r="O26" s="18"/>
      <c r="P26" s="18"/>
    </row>
    <row r="27" spans="3:16" x14ac:dyDescent="0.25">
      <c r="C27" s="24"/>
      <c r="D27" s="18"/>
      <c r="E27" s="18"/>
      <c r="F27" s="18"/>
      <c r="G27" s="18"/>
      <c r="H27" s="18"/>
      <c r="I27" s="18"/>
      <c r="J27" s="18"/>
      <c r="K27" s="18"/>
      <c r="L27" s="18"/>
      <c r="M27" s="18"/>
      <c r="N27" s="18"/>
      <c r="O27" s="18"/>
      <c r="P27" s="18"/>
    </row>
    <row r="28" spans="3:16" x14ac:dyDescent="0.25">
      <c r="C28" s="24"/>
      <c r="D28" s="18"/>
      <c r="E28" s="18"/>
      <c r="F28" s="18"/>
      <c r="G28" s="18"/>
      <c r="H28" s="18"/>
      <c r="I28" s="18"/>
      <c r="J28" s="18"/>
      <c r="K28" s="18"/>
      <c r="L28" s="18"/>
      <c r="M28" s="18"/>
      <c r="N28" s="18"/>
      <c r="O28" s="18"/>
      <c r="P28" s="18"/>
    </row>
    <row r="29" spans="3:16" x14ac:dyDescent="0.25">
      <c r="C29" s="24"/>
      <c r="D29" s="18"/>
      <c r="E29" s="18"/>
      <c r="F29" s="18"/>
      <c r="G29" s="18"/>
      <c r="H29" s="18"/>
      <c r="I29" s="18"/>
      <c r="J29" s="18"/>
      <c r="K29" s="18"/>
      <c r="L29" s="18"/>
      <c r="M29" s="18"/>
      <c r="N29" s="18"/>
      <c r="O29" s="18"/>
      <c r="P29" s="18"/>
    </row>
    <row r="30" spans="3:16" x14ac:dyDescent="0.25">
      <c r="C30" s="24"/>
      <c r="D30" s="18"/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</row>
    <row r="31" spans="3:16" x14ac:dyDescent="0.25">
      <c r="C31" s="24"/>
      <c r="D31" s="18"/>
      <c r="E31" s="18"/>
      <c r="F31" s="18"/>
      <c r="G31" s="18"/>
      <c r="H31" s="18"/>
      <c r="I31" s="18"/>
      <c r="J31" s="18"/>
      <c r="K31" s="18"/>
      <c r="L31" s="18"/>
      <c r="M31" s="18"/>
      <c r="N31" s="18"/>
      <c r="O31" s="18"/>
      <c r="P31" s="18"/>
    </row>
    <row r="32" spans="3:16" x14ac:dyDescent="0.25">
      <c r="C32" s="24"/>
      <c r="D32" s="18"/>
      <c r="E32" s="18"/>
      <c r="F32" s="18"/>
      <c r="G32" s="18"/>
      <c r="H32" s="18"/>
      <c r="I32" s="18"/>
      <c r="J32" s="18"/>
      <c r="K32" s="18"/>
      <c r="L32" s="18"/>
      <c r="M32" s="18"/>
      <c r="N32" s="18"/>
      <c r="O32" s="18"/>
      <c r="P32" s="18"/>
    </row>
    <row r="33" spans="3:16" x14ac:dyDescent="0.25">
      <c r="C33" s="24"/>
      <c r="D33" s="18"/>
      <c r="E33" s="18"/>
      <c r="F33" s="18"/>
      <c r="G33" s="18"/>
      <c r="H33" s="18"/>
      <c r="I33" s="18"/>
      <c r="J33" s="18"/>
      <c r="K33" s="18"/>
      <c r="L33" s="18"/>
      <c r="M33" s="18"/>
      <c r="N33" s="18"/>
      <c r="O33" s="18"/>
      <c r="P33" s="18"/>
    </row>
    <row r="34" spans="3:16" x14ac:dyDescent="0.25">
      <c r="C34" s="24"/>
      <c r="D34" s="18"/>
      <c r="E34" s="18"/>
      <c r="F34" s="18"/>
      <c r="G34" s="18"/>
      <c r="H34" s="18"/>
      <c r="I34" s="18"/>
      <c r="J34" s="18"/>
      <c r="K34" s="18"/>
      <c r="L34" s="18"/>
      <c r="M34" s="18"/>
      <c r="N34" s="18"/>
      <c r="O34" s="18"/>
      <c r="P34" s="18"/>
    </row>
    <row r="35" spans="3:16" x14ac:dyDescent="0.25">
      <c r="C35" s="24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P35" s="18"/>
    </row>
    <row r="36" spans="3:16" x14ac:dyDescent="0.25">
      <c r="C36" s="24"/>
      <c r="D36" s="18"/>
      <c r="E36" s="18"/>
      <c r="F36" s="18"/>
      <c r="G36" s="18"/>
      <c r="H36" s="18"/>
      <c r="I36" s="18"/>
      <c r="J36" s="18"/>
      <c r="K36" s="18"/>
      <c r="L36" s="18"/>
      <c r="M36" s="18"/>
      <c r="N36" s="18"/>
      <c r="O36" s="18"/>
      <c r="P36" s="18"/>
    </row>
    <row r="37" spans="3:16" x14ac:dyDescent="0.25">
      <c r="C37" s="24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P37" s="18"/>
    </row>
    <row r="38" spans="3:16" x14ac:dyDescent="0.25">
      <c r="C38" s="24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P38" s="18"/>
    </row>
    <row r="39" spans="3:16" x14ac:dyDescent="0.25">
      <c r="C39" s="24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P39" s="18"/>
    </row>
    <row r="40" spans="3:16" x14ac:dyDescent="0.25">
      <c r="C40" s="24"/>
      <c r="D40" s="18"/>
      <c r="E40" s="18"/>
      <c r="F40" s="18"/>
      <c r="G40" s="18"/>
      <c r="H40" s="18"/>
      <c r="I40" s="18"/>
      <c r="J40" s="18"/>
      <c r="K40" s="18"/>
      <c r="L40" s="18"/>
      <c r="M40" s="18"/>
      <c r="N40" s="18"/>
      <c r="O40" s="18"/>
      <c r="P40" s="18"/>
    </row>
    <row r="42" spans="3:16" x14ac:dyDescent="0.25">
      <c r="C42" s="24"/>
      <c r="D42" s="18"/>
      <c r="E42" s="18"/>
      <c r="F42" s="18"/>
      <c r="G42" s="18"/>
      <c r="H42" s="18"/>
      <c r="I42" s="18"/>
      <c r="J42" s="18"/>
      <c r="K42" s="18"/>
      <c r="L42" s="18"/>
      <c r="M42" s="18"/>
      <c r="N42" s="18"/>
      <c r="O42" s="18"/>
      <c r="P42" s="18"/>
    </row>
    <row r="43" spans="3:16" ht="14.45" customHeight="1" x14ac:dyDescent="0.25">
      <c r="C43" s="24"/>
      <c r="D43" s="18"/>
      <c r="E43" s="75" t="s">
        <v>131</v>
      </c>
      <c r="F43" s="75"/>
      <c r="G43" s="75"/>
      <c r="H43" s="75"/>
      <c r="I43" s="75"/>
      <c r="J43" s="73"/>
      <c r="K43" s="75" t="s">
        <v>166</v>
      </c>
      <c r="L43" s="75"/>
      <c r="M43" s="75"/>
      <c r="N43" s="75"/>
      <c r="O43" s="75"/>
      <c r="P43" s="18"/>
    </row>
    <row r="44" spans="3:16" ht="14.45" customHeight="1" x14ac:dyDescent="0.25">
      <c r="C44" s="24"/>
      <c r="D44" s="18"/>
      <c r="E44" s="75"/>
      <c r="F44" s="75"/>
      <c r="G44" s="75"/>
      <c r="H44" s="75"/>
      <c r="I44" s="75"/>
      <c r="J44" s="73"/>
      <c r="K44" s="75"/>
      <c r="L44" s="75"/>
      <c r="M44" s="75"/>
      <c r="N44" s="75"/>
      <c r="O44" s="75"/>
      <c r="P44" s="18"/>
    </row>
    <row r="45" spans="3:16" ht="14.45" customHeight="1" x14ac:dyDescent="0.25">
      <c r="C45" s="24"/>
      <c r="D45" s="18"/>
      <c r="E45" s="75"/>
      <c r="F45" s="75"/>
      <c r="G45" s="75"/>
      <c r="H45" s="75"/>
      <c r="I45" s="75"/>
      <c r="J45" s="73"/>
      <c r="K45" s="75"/>
      <c r="L45" s="75"/>
      <c r="M45" s="75"/>
      <c r="N45" s="75"/>
      <c r="O45" s="75"/>
      <c r="P45" s="18"/>
    </row>
    <row r="46" spans="3:16" ht="14.45" customHeight="1" x14ac:dyDescent="0.25">
      <c r="C46" s="24"/>
      <c r="D46" s="18"/>
      <c r="E46" s="75"/>
      <c r="F46" s="75"/>
      <c r="G46" s="75"/>
      <c r="H46" s="75"/>
      <c r="I46" s="75"/>
      <c r="J46" s="73"/>
      <c r="K46" s="75"/>
      <c r="L46" s="75"/>
      <c r="M46" s="75"/>
      <c r="N46" s="75"/>
      <c r="O46" s="75"/>
      <c r="P46" s="18"/>
    </row>
    <row r="47" spans="3:16" ht="14.45" customHeight="1" x14ac:dyDescent="0.25">
      <c r="C47" s="24"/>
      <c r="D47" s="18"/>
      <c r="E47" s="75"/>
      <c r="F47" s="75"/>
      <c r="G47" s="75"/>
      <c r="H47" s="75"/>
      <c r="I47" s="75"/>
      <c r="J47" s="73"/>
      <c r="K47" s="75"/>
      <c r="L47" s="75"/>
      <c r="M47" s="75"/>
      <c r="N47" s="75"/>
      <c r="O47" s="75"/>
      <c r="P47" s="18"/>
    </row>
    <row r="48" spans="3:16" x14ac:dyDescent="0.25">
      <c r="C48" s="24"/>
      <c r="D48" s="18"/>
      <c r="E48" s="75"/>
      <c r="F48" s="75"/>
      <c r="G48" s="75"/>
      <c r="H48" s="75"/>
      <c r="I48" s="75"/>
      <c r="J48" s="74"/>
      <c r="K48" s="75"/>
      <c r="L48" s="75"/>
      <c r="M48" s="75"/>
      <c r="N48" s="75"/>
      <c r="O48" s="75"/>
      <c r="P48" s="18"/>
    </row>
    <row r="49" spans="3:16" ht="24.6" customHeight="1" x14ac:dyDescent="0.25">
      <c r="C49" s="24"/>
      <c r="D49" s="18"/>
      <c r="E49" s="75"/>
      <c r="F49" s="75"/>
      <c r="G49" s="75"/>
      <c r="H49" s="75"/>
      <c r="I49" s="75"/>
      <c r="J49" s="74"/>
      <c r="K49" s="75"/>
      <c r="L49" s="75"/>
      <c r="M49" s="75"/>
      <c r="N49" s="75"/>
      <c r="O49" s="75"/>
      <c r="P49" s="18"/>
    </row>
    <row r="50" spans="3:16" ht="15.6" customHeight="1" x14ac:dyDescent="0.25">
      <c r="C50" s="24"/>
      <c r="D50" s="18"/>
      <c r="E50" s="74"/>
      <c r="F50" s="74"/>
      <c r="G50" s="74"/>
      <c r="H50" s="74"/>
      <c r="I50" s="74"/>
      <c r="J50" s="74"/>
      <c r="K50" s="74"/>
      <c r="L50" s="74"/>
      <c r="M50" s="74"/>
      <c r="N50" s="74"/>
      <c r="O50" s="16"/>
      <c r="P50" s="18"/>
    </row>
    <row r="51" spans="3:16" ht="41.1" customHeight="1" x14ac:dyDescent="0.25">
      <c r="C51" s="24"/>
      <c r="D51" s="18"/>
      <c r="E51" s="79" t="s">
        <v>156</v>
      </c>
      <c r="F51" s="81" t="s">
        <v>157</v>
      </c>
      <c r="G51" s="83" t="s">
        <v>158</v>
      </c>
      <c r="H51" s="85" t="s">
        <v>159</v>
      </c>
      <c r="I51" s="87" t="s">
        <v>160</v>
      </c>
      <c r="J51" s="18"/>
      <c r="K51" s="18"/>
      <c r="L51" s="18"/>
      <c r="M51" s="18"/>
      <c r="N51" s="18"/>
      <c r="O51" s="18"/>
      <c r="P51" s="18"/>
    </row>
    <row r="52" spans="3:16" x14ac:dyDescent="0.25">
      <c r="C52" s="24"/>
      <c r="D52" s="18"/>
      <c r="E52" s="80"/>
      <c r="F52" s="82"/>
      <c r="G52" s="84"/>
      <c r="H52" s="86"/>
      <c r="I52" s="88"/>
      <c r="J52" s="18"/>
      <c r="K52" s="18"/>
      <c r="L52" s="18"/>
      <c r="M52" s="18"/>
      <c r="N52" s="18"/>
      <c r="O52" s="18"/>
      <c r="P52" s="18"/>
    </row>
    <row r="53" spans="3:16" ht="14.45" customHeight="1" x14ac:dyDescent="0.25">
      <c r="C53" s="24"/>
      <c r="D53" s="18"/>
      <c r="E53" s="78">
        <f>'Partnership List'!B4</f>
        <v>4</v>
      </c>
      <c r="F53" s="78">
        <f ca="1">'Partnership List'!B7</f>
        <v>4</v>
      </c>
      <c r="G53" s="78">
        <f>'Partnership List'!B5</f>
        <v>4</v>
      </c>
      <c r="H53" s="78">
        <f>'Partnership List'!B6</f>
        <v>10</v>
      </c>
      <c r="I53" s="78">
        <f>'Partnership List'!B8</f>
        <v>5.666666666666667</v>
      </c>
      <c r="J53" s="18"/>
      <c r="K53" s="18"/>
      <c r="L53" s="18"/>
      <c r="M53" s="18"/>
      <c r="N53" s="18"/>
      <c r="O53" s="18"/>
      <c r="P53" s="18"/>
    </row>
    <row r="54" spans="3:16" ht="14.45" customHeight="1" x14ac:dyDescent="0.25">
      <c r="C54" s="24"/>
      <c r="D54" s="18"/>
      <c r="E54" s="78"/>
      <c r="F54" s="78"/>
      <c r="G54" s="78"/>
      <c r="H54" s="78"/>
      <c r="I54" s="78"/>
      <c r="J54" s="18"/>
      <c r="K54" s="18"/>
      <c r="L54" s="18"/>
      <c r="M54" s="18"/>
      <c r="N54" s="18"/>
      <c r="O54" s="18"/>
      <c r="P54" s="18"/>
    </row>
    <row r="55" spans="3:16" x14ac:dyDescent="0.25">
      <c r="C55" s="24"/>
      <c r="D55" s="18"/>
      <c r="E55" s="18"/>
      <c r="F55" s="18"/>
      <c r="G55" s="18"/>
      <c r="H55" s="18"/>
      <c r="I55" s="18"/>
      <c r="J55" s="18"/>
      <c r="K55" s="18"/>
      <c r="L55" s="18"/>
      <c r="M55" s="18"/>
      <c r="N55" s="18"/>
      <c r="O55" s="18"/>
      <c r="P55" s="18"/>
    </row>
    <row r="56" spans="3:16" x14ac:dyDescent="0.25">
      <c r="C56" s="24"/>
      <c r="D56" s="18"/>
      <c r="E56" s="54" t="s">
        <v>106</v>
      </c>
      <c r="F56" s="55" t="s">
        <v>105</v>
      </c>
      <c r="G56" s="55" t="s">
        <v>62</v>
      </c>
      <c r="H56" s="55" t="s">
        <v>102</v>
      </c>
      <c r="I56" s="55" t="s">
        <v>103</v>
      </c>
      <c r="J56" s="18"/>
      <c r="K56" s="18"/>
      <c r="L56" s="18"/>
      <c r="M56" s="18"/>
      <c r="N56" s="18"/>
      <c r="O56" s="18"/>
      <c r="P56" s="18"/>
    </row>
    <row r="57" spans="3:16" ht="28.5" customHeight="1" x14ac:dyDescent="0.25">
      <c r="C57" s="24"/>
      <c r="D57" s="18"/>
      <c r="E57" s="43" t="str">
        <f ca="1">OFFSET('Partnership List'!$A11,'Partnership List'!$M$29,0)</f>
        <v>Beyond the Yellow Ribbon</v>
      </c>
      <c r="F57" s="43" t="str">
        <f ca="1">OFFSET('Partnership List'!$B11,'Partnership List'!$M$29,0)</f>
        <v>UNKNOWN</v>
      </c>
      <c r="G57" s="43" t="str">
        <f ca="1">OFFSET('Partnership List'!$C11,'Partnership List'!$M$29,0)</f>
        <v>UNKNOWN</v>
      </c>
      <c r="H57" s="45" t="str">
        <f ca="1">OFFSET('Partnership List'!$D11,'Partnership List'!$M$29,0)</f>
        <v>Pending Readiness</v>
      </c>
      <c r="I57" s="56">
        <f ca="1">OFFSET('Partnership List'!$E11,'Partnership List'!$M$29,0)</f>
        <v>10</v>
      </c>
      <c r="J57" s="18"/>
      <c r="K57" s="18"/>
      <c r="L57" s="18"/>
      <c r="M57" s="18"/>
      <c r="N57" s="18"/>
      <c r="O57" s="18"/>
      <c r="P57" s="18"/>
    </row>
    <row r="58" spans="3:16" ht="28.5" customHeight="1" x14ac:dyDescent="0.25">
      <c r="C58" s="24"/>
      <c r="D58" s="18"/>
      <c r="E58" s="43" t="str">
        <f ca="1">OFFSET('Partnership List'!$A12,'Partnership List'!$M$29,0)</f>
        <v>Save the Boundaary Waters</v>
      </c>
      <c r="F58" s="43" t="str">
        <f ca="1">OFFSET('Partnership List'!$B12,'Partnership List'!$M$29,0)</f>
        <v>UNKNOWN</v>
      </c>
      <c r="G58" s="43" t="str">
        <f ca="1">OFFSET('Partnership List'!$C12,'Partnership List'!$M$29,0)</f>
        <v>UNKNOWN</v>
      </c>
      <c r="H58" s="45" t="str">
        <f ca="1">OFFSET('Partnership List'!$D12,'Partnership List'!$M$29,0)</f>
        <v>Pending Readiness</v>
      </c>
      <c r="I58" s="56">
        <f ca="1">OFFSET('Partnership List'!$E12,'Partnership List'!$M$29,0)</f>
        <v>10</v>
      </c>
      <c r="J58" s="18"/>
      <c r="K58" s="18"/>
      <c r="L58" s="18"/>
      <c r="M58" s="18"/>
      <c r="N58" s="18"/>
      <c r="O58" s="18"/>
      <c r="P58" s="18"/>
    </row>
    <row r="59" spans="3:16" ht="28.5" customHeight="1" x14ac:dyDescent="0.25">
      <c r="C59" s="24"/>
      <c r="D59" s="18"/>
      <c r="E59" s="43" t="str">
        <f ca="1">OFFSET('Partnership List'!$A13,'Partnership List'!$M$29,0)</f>
        <v>Bois Forte Band of Chippewa</v>
      </c>
      <c r="F59" s="43" t="str">
        <f ca="1">OFFSET('Partnership List'!$B13,'Partnership List'!$M$29,0)</f>
        <v>UNKNOWN</v>
      </c>
      <c r="G59" s="43" t="str">
        <f ca="1">OFFSET('Partnership List'!$C13,'Partnership List'!$M$29,0)</f>
        <v>UNKNOWN</v>
      </c>
      <c r="H59" s="45" t="str">
        <f ca="1">OFFSET('Partnership List'!$D13,'Partnership List'!$M$29,0)</f>
        <v>Pending Readiness</v>
      </c>
      <c r="I59" s="56">
        <f ca="1">OFFSET('Partnership List'!$E13,'Partnership List'!$M$29,0)</f>
        <v>10</v>
      </c>
      <c r="J59" s="18"/>
      <c r="K59" s="18"/>
      <c r="L59" s="18"/>
      <c r="M59" s="18"/>
      <c r="N59" s="18"/>
      <c r="O59" s="18"/>
      <c r="P59" s="18"/>
    </row>
    <row r="60" spans="3:16" ht="28.5" customHeight="1" x14ac:dyDescent="0.25">
      <c r="C60" s="24"/>
      <c r="D60" s="18"/>
      <c r="E60" s="43" t="str">
        <f ca="1">OFFSET('Partnership List'!$A14,'Partnership List'!$M$29,0)</f>
        <v>North Hennepin Community College</v>
      </c>
      <c r="F60" s="43" t="str">
        <f ca="1">OFFSET('Partnership List'!$B14,'Partnership List'!$M$29,0)</f>
        <v>UNKNOWN</v>
      </c>
      <c r="G60" s="43" t="str">
        <f ca="1">OFFSET('Partnership List'!$C14,'Partnership List'!$M$29,0)</f>
        <v>UNKNOWN</v>
      </c>
      <c r="H60" s="45" t="str">
        <f ca="1">OFFSET('Partnership List'!$D14,'Partnership List'!$M$29,0)</f>
        <v>Pending Readiness</v>
      </c>
      <c r="I60" s="56">
        <f ca="1">OFFSET('Partnership List'!$E14,'Partnership List'!$M$29,0)</f>
        <v>10</v>
      </c>
      <c r="J60" s="18"/>
      <c r="K60" s="18"/>
      <c r="L60" s="18"/>
      <c r="M60" s="18"/>
      <c r="N60" s="18"/>
      <c r="O60" s="18"/>
      <c r="P60" s="18"/>
    </row>
    <row r="61" spans="3:16" ht="28.5" customHeight="1" x14ac:dyDescent="0.25">
      <c r="C61" s="24"/>
      <c r="D61" s="18"/>
      <c r="E61" s="43" t="str">
        <f ca="1">OFFSET('Partnership List'!$A15,'Partnership List'!$M$29,0)</f>
        <v>Edison High School“ Beacons Program</v>
      </c>
      <c r="F61" s="43" t="str">
        <f ca="1">OFFSET('Partnership List'!$B15,'Partnership List'!$M$29,0)</f>
        <v>Jasmine Rivera</v>
      </c>
      <c r="G61" s="43" t="str">
        <f ca="1">OFFSET('Partnership List'!$C15,'Partnership List'!$M$29,0)</f>
        <v>jasmine.rivera@mpls.k12.mn.us</v>
      </c>
      <c r="H61" s="45">
        <f ca="1">OFFSET('Partnership List'!$D15,'Partnership List'!$M$29,0)</f>
        <v>456</v>
      </c>
      <c r="I61" s="56">
        <f ca="1">OFFSET('Partnership List'!$E15,'Partnership List'!$M$29,0)</f>
        <v>8.5</v>
      </c>
      <c r="J61" s="18"/>
      <c r="K61" s="18"/>
      <c r="L61" s="18"/>
      <c r="M61" s="18"/>
      <c r="N61" s="18"/>
      <c r="O61" s="18"/>
      <c r="P61" s="18"/>
    </row>
    <row r="62" spans="3:16" ht="28.5" customHeight="1" x14ac:dyDescent="0.25">
      <c r="C62" s="24"/>
      <c r="D62" s="18"/>
      <c r="E62" s="43" t="str">
        <f ca="1">OFFSET('Partnership List'!$A16,'Partnership List'!$M$29,0)</f>
        <v>YEA! MN</v>
      </c>
      <c r="F62" s="43" t="str">
        <f ca="1">OFFSET('Partnership List'!$B16,'Partnership List'!$M$29,0)</f>
        <v>Zoe Redfern-Hall</v>
      </c>
      <c r="G62" s="43" t="str">
        <f ca="1">OFFSET('Partnership List'!$C16,'Partnership List'!$M$29,0)</f>
        <v>zoe@climategen.org</v>
      </c>
      <c r="H62" s="45">
        <f ca="1">OFFSET('Partnership List'!$D16,'Partnership List'!$M$29,0)</f>
        <v>454</v>
      </c>
      <c r="I62" s="56">
        <f ca="1">OFFSET('Partnership List'!$E16,'Partnership List'!$M$29,0)</f>
        <v>7.5</v>
      </c>
      <c r="J62" s="18"/>
      <c r="K62" s="18"/>
      <c r="L62" s="18"/>
      <c r="M62" s="18"/>
      <c r="N62" s="18"/>
      <c r="O62" s="18"/>
      <c r="P62" s="18"/>
    </row>
    <row r="63" spans="3:16" ht="28.5" customHeight="1" x14ac:dyDescent="0.25">
      <c r="C63" s="24"/>
      <c r="D63" s="18"/>
      <c r="E63" s="43" t="str">
        <f ca="1">OFFSET('Partnership List'!$A17,'Partnership List'!$M$29,0)</f>
        <v>St. Olaf Recreation Department</v>
      </c>
      <c r="F63" s="43" t="str">
        <f ca="1">OFFSET('Partnership List'!$B17,'Partnership List'!$M$29,0)</f>
        <v>Grant Herfindal</v>
      </c>
      <c r="G63" s="43" t="str">
        <f ca="1">OFFSET('Partnership List'!$C17,'Partnership List'!$M$29,0)</f>
        <v>herfin3@stolaf.edu</v>
      </c>
      <c r="H63" s="45">
        <f ca="1">OFFSET('Partnership List'!$D17,'Partnership List'!$M$29,0)</f>
        <v>454</v>
      </c>
      <c r="I63" s="56">
        <f ca="1">OFFSET('Partnership List'!$E17,'Partnership List'!$M$29,0)</f>
        <v>8</v>
      </c>
      <c r="J63" s="18"/>
      <c r="K63" s="61" t="s">
        <v>162</v>
      </c>
      <c r="L63" s="62" t="s">
        <v>164</v>
      </c>
      <c r="M63" s="18"/>
      <c r="N63" s="18"/>
      <c r="O63" s="18"/>
      <c r="P63" s="18"/>
    </row>
    <row r="64" spans="3:16" ht="28.5" customHeight="1" x14ac:dyDescent="0.25">
      <c r="C64" s="24"/>
      <c r="D64" s="18"/>
      <c r="E64" s="43" t="str">
        <f ca="1">OFFSET('Partnership List'!$A18,'Partnership List'!$M$29,0)</f>
        <v>UMN Forestry &amp; SAF</v>
      </c>
      <c r="F64" s="43" t="str">
        <f ca="1">OFFSET('Partnership List'!$B18,'Partnership List'!$M$29,0)</f>
        <v>Club Email (General Inquiries)</v>
      </c>
      <c r="G64" s="43" t="str">
        <f ca="1">OFFSET('Partnership List'!$C18,'Partnership List'!$M$29,0)</f>
        <v>fclub@umn.edu</v>
      </c>
      <c r="H64" s="45">
        <f ca="1">OFFSET('Partnership List'!$D18,'Partnership List'!$M$29,0)</f>
        <v>453</v>
      </c>
      <c r="I64" s="56">
        <f ca="1">OFFSET('Partnership List'!$E18,'Partnership List'!$M$29,0)</f>
        <v>8</v>
      </c>
      <c r="J64" s="18"/>
      <c r="K64" s="60">
        <f>Optimization!B17</f>
        <v>0.65</v>
      </c>
      <c r="L64" s="60">
        <f>1-K64</f>
        <v>0.35</v>
      </c>
      <c r="M64" s="18"/>
      <c r="N64" s="18"/>
      <c r="O64" s="18"/>
      <c r="P64" s="18"/>
    </row>
    <row r="65" spans="3:16" ht="14.45" customHeight="1" x14ac:dyDescent="0.25">
      <c r="C65" s="24"/>
      <c r="D65" s="18"/>
      <c r="E65" s="18"/>
      <c r="F65" s="18"/>
      <c r="G65" s="18"/>
      <c r="H65" s="18"/>
      <c r="I65" s="18"/>
      <c r="J65" s="18"/>
      <c r="K65" s="18"/>
      <c r="L65" s="18"/>
      <c r="M65" s="18"/>
      <c r="N65" s="18"/>
      <c r="O65" s="18"/>
      <c r="P65" s="18"/>
    </row>
    <row r="66" spans="3:16" ht="14.45" customHeight="1" x14ac:dyDescent="0.25">
      <c r="C66" s="24"/>
      <c r="D66" s="18"/>
      <c r="E66" s="18"/>
      <c r="F66" s="18"/>
      <c r="G66" s="18"/>
      <c r="H66" s="18"/>
      <c r="I66" s="18"/>
      <c r="J66" s="18"/>
      <c r="K66" s="18"/>
      <c r="L66" s="18"/>
      <c r="M66" s="18"/>
      <c r="N66" s="18"/>
      <c r="O66" s="18"/>
      <c r="P66" s="18"/>
    </row>
  </sheetData>
  <mergeCells count="24">
    <mergeCell ref="E10:I14"/>
    <mergeCell ref="K10:O15"/>
    <mergeCell ref="K3:L5"/>
    <mergeCell ref="I3:J5"/>
    <mergeCell ref="I6:J7"/>
    <mergeCell ref="E6:F7"/>
    <mergeCell ref="K6:L7"/>
    <mergeCell ref="G6:H7"/>
    <mergeCell ref="K43:O49"/>
    <mergeCell ref="E43:I49"/>
    <mergeCell ref="M3:O5"/>
    <mergeCell ref="M6:O7"/>
    <mergeCell ref="H53:H54"/>
    <mergeCell ref="I53:I54"/>
    <mergeCell ref="E51:E52"/>
    <mergeCell ref="F51:F52"/>
    <mergeCell ref="G51:G52"/>
    <mergeCell ref="H51:H52"/>
    <mergeCell ref="I51:I52"/>
    <mergeCell ref="E53:E54"/>
    <mergeCell ref="F53:F54"/>
    <mergeCell ref="G53:G54"/>
    <mergeCell ref="E3:F5"/>
    <mergeCell ref="G3:H5"/>
  </mergeCells>
  <pageMargins left="0.7" right="0.7" top="0.75" bottom="0.75" header="0.3" footer="0.3"/>
  <pageSetup scale="4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8" r:id="rId4" name="Button 4">
              <controlPr defaultSize="0" print="0" autoFill="0" autoPict="0" macro="[0]!Button4_Click">
                <anchor moveWithCells="1" sizeWithCells="1">
                  <from>
                    <xdr:col>16</xdr:col>
                    <xdr:colOff>85725</xdr:colOff>
                    <xdr:row>3</xdr:row>
                    <xdr:rowOff>66675</xdr:rowOff>
                  </from>
                  <to>
                    <xdr:col>18</xdr:col>
                    <xdr:colOff>400050</xdr:colOff>
                    <xdr:row>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5" name="Scroll Bar 9">
              <controlPr defaultSize="0" autoPict="0">
                <anchor moveWithCells="1">
                  <from>
                    <xdr:col>3</xdr:col>
                    <xdr:colOff>57150</xdr:colOff>
                    <xdr:row>55</xdr:row>
                    <xdr:rowOff>142875</xdr:rowOff>
                  </from>
                  <to>
                    <xdr:col>3</xdr:col>
                    <xdr:colOff>238125</xdr:colOff>
                    <xdr:row>63</xdr:row>
                    <xdr:rowOff>314325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C2391E-003C-40CD-A4EB-1664E0880703}">
  <sheetPr codeName="Sheet1">
    <tabColor theme="7" tint="0.79998168889431442"/>
  </sheetPr>
  <dimension ref="A2:C94"/>
  <sheetViews>
    <sheetView zoomScale="70" zoomScaleNormal="70" workbookViewId="0">
      <selection activeCell="A19" sqref="A19:A21"/>
    </sheetView>
  </sheetViews>
  <sheetFormatPr defaultRowHeight="15" x14ac:dyDescent="0.25"/>
  <cols>
    <col min="1" max="1" width="60.7109375" customWidth="1"/>
    <col min="2" max="2" width="37.5703125" bestFit="1" customWidth="1"/>
    <col min="3" max="3" width="29.28515625" customWidth="1"/>
  </cols>
  <sheetData>
    <row r="2" spans="1:1" ht="31.5" x14ac:dyDescent="0.25">
      <c r="A2" s="63" t="s">
        <v>167</v>
      </c>
    </row>
    <row r="6" spans="1:1" ht="18" x14ac:dyDescent="0.25">
      <c r="A6" s="64" t="s">
        <v>168</v>
      </c>
    </row>
    <row r="8" spans="1:1" x14ac:dyDescent="0.25">
      <c r="A8" t="s">
        <v>169</v>
      </c>
    </row>
    <row r="9" spans="1:1" x14ac:dyDescent="0.25">
      <c r="A9" t="s">
        <v>170</v>
      </c>
    </row>
    <row r="10" spans="1:1" x14ac:dyDescent="0.25">
      <c r="A10" t="s">
        <v>171</v>
      </c>
    </row>
    <row r="11" spans="1:1" x14ac:dyDescent="0.25">
      <c r="A11" t="s">
        <v>172</v>
      </c>
    </row>
    <row r="12" spans="1:1" x14ac:dyDescent="0.25">
      <c r="A12" t="s">
        <v>173</v>
      </c>
    </row>
    <row r="14" spans="1:1" x14ac:dyDescent="0.25">
      <c r="A14" t="s">
        <v>174</v>
      </c>
    </row>
    <row r="18" spans="1:1" ht="18" x14ac:dyDescent="0.25">
      <c r="A18" s="64" t="s">
        <v>175</v>
      </c>
    </row>
    <row r="20" spans="1:1" x14ac:dyDescent="0.25">
      <c r="A20" t="s">
        <v>176</v>
      </c>
    </row>
    <row r="21" spans="1:1" x14ac:dyDescent="0.25">
      <c r="A21" t="s">
        <v>177</v>
      </c>
    </row>
    <row r="25" spans="1:1" ht="18" x14ac:dyDescent="0.25">
      <c r="A25" s="64" t="s">
        <v>178</v>
      </c>
    </row>
    <row r="27" spans="1:1" x14ac:dyDescent="0.25">
      <c r="A27" t="s">
        <v>179</v>
      </c>
    </row>
    <row r="28" spans="1:1" x14ac:dyDescent="0.25">
      <c r="A28" t="s">
        <v>180</v>
      </c>
    </row>
    <row r="32" spans="1:1" ht="18" x14ac:dyDescent="0.25">
      <c r="A32" s="64" t="s">
        <v>181</v>
      </c>
    </row>
    <row r="34" spans="1:3" x14ac:dyDescent="0.25">
      <c r="A34" s="68" t="s">
        <v>182</v>
      </c>
      <c r="B34" s="68" t="s">
        <v>183</v>
      </c>
    </row>
    <row r="35" spans="1:3" x14ac:dyDescent="0.25">
      <c r="A35" s="70" t="s">
        <v>184</v>
      </c>
      <c r="B35" s="69" t="s">
        <v>185</v>
      </c>
    </row>
    <row r="36" spans="1:3" x14ac:dyDescent="0.25">
      <c r="A36" s="70" t="s">
        <v>186</v>
      </c>
      <c r="B36" s="43" t="s">
        <v>187</v>
      </c>
    </row>
    <row r="37" spans="1:3" x14ac:dyDescent="0.25">
      <c r="A37" s="70" t="s">
        <v>188</v>
      </c>
      <c r="B37" s="69" t="s">
        <v>189</v>
      </c>
    </row>
    <row r="40" spans="1:3" ht="18" x14ac:dyDescent="0.25">
      <c r="A40" s="64" t="s">
        <v>190</v>
      </c>
    </row>
    <row r="42" spans="1:3" x14ac:dyDescent="0.25">
      <c r="A42" t="s">
        <v>191</v>
      </c>
    </row>
    <row r="44" spans="1:3" x14ac:dyDescent="0.25">
      <c r="A44" s="68" t="s">
        <v>122</v>
      </c>
      <c r="B44" s="68" t="s">
        <v>192</v>
      </c>
      <c r="C44" s="68" t="s">
        <v>193</v>
      </c>
    </row>
    <row r="45" spans="1:3" ht="23.1" customHeight="1" x14ac:dyDescent="0.25">
      <c r="A45" s="69" t="s">
        <v>194</v>
      </c>
      <c r="B45" s="69" t="s">
        <v>195</v>
      </c>
      <c r="C45" s="43" t="s">
        <v>196</v>
      </c>
    </row>
    <row r="46" spans="1:3" ht="33.950000000000003" customHeight="1" x14ac:dyDescent="0.25">
      <c r="A46" s="69" t="s">
        <v>189</v>
      </c>
      <c r="B46" s="69" t="s">
        <v>197</v>
      </c>
      <c r="C46" s="43" t="s">
        <v>198</v>
      </c>
    </row>
    <row r="47" spans="1:3" ht="22.5" customHeight="1" x14ac:dyDescent="0.25">
      <c r="A47" s="69" t="s">
        <v>189</v>
      </c>
      <c r="B47" s="69" t="s">
        <v>199</v>
      </c>
      <c r="C47" s="43" t="s">
        <v>200</v>
      </c>
    </row>
    <row r="48" spans="1:3" ht="27.6" customHeight="1" x14ac:dyDescent="0.25">
      <c r="A48" s="69" t="s">
        <v>189</v>
      </c>
      <c r="B48" s="69" t="s">
        <v>201</v>
      </c>
      <c r="C48" s="43" t="s">
        <v>202</v>
      </c>
    </row>
    <row r="50" spans="1:1" x14ac:dyDescent="0.25">
      <c r="A50" t="s">
        <v>203</v>
      </c>
    </row>
    <row r="54" spans="1:1" ht="18" x14ac:dyDescent="0.25">
      <c r="A54" s="64" t="s">
        <v>204</v>
      </c>
    </row>
    <row r="56" spans="1:1" x14ac:dyDescent="0.25">
      <c r="A56" t="s">
        <v>205</v>
      </c>
    </row>
    <row r="57" spans="1:1" x14ac:dyDescent="0.25">
      <c r="A57" t="s">
        <v>206</v>
      </c>
    </row>
    <row r="58" spans="1:1" x14ac:dyDescent="0.25">
      <c r="A58" t="s">
        <v>207</v>
      </c>
    </row>
    <row r="62" spans="1:1" ht="18" x14ac:dyDescent="0.25">
      <c r="A62" s="64" t="s">
        <v>208</v>
      </c>
    </row>
    <row r="63" spans="1:1" x14ac:dyDescent="0.25">
      <c r="A63" s="66"/>
    </row>
    <row r="64" spans="1:1" x14ac:dyDescent="0.25">
      <c r="A64" s="67" t="s">
        <v>209</v>
      </c>
    </row>
    <row r="65" spans="1:1" x14ac:dyDescent="0.25">
      <c r="A65" s="66"/>
    </row>
    <row r="66" spans="1:1" x14ac:dyDescent="0.25">
      <c r="A66" s="67" t="s">
        <v>210</v>
      </c>
    </row>
    <row r="67" spans="1:1" x14ac:dyDescent="0.25">
      <c r="A67" s="66"/>
    </row>
    <row r="68" spans="1:1" x14ac:dyDescent="0.25">
      <c r="A68" s="67" t="s">
        <v>211</v>
      </c>
    </row>
    <row r="69" spans="1:1" x14ac:dyDescent="0.25">
      <c r="A69" s="66"/>
    </row>
    <row r="70" spans="1:1" x14ac:dyDescent="0.25">
      <c r="A70" s="67" t="s">
        <v>212</v>
      </c>
    </row>
    <row r="71" spans="1:1" x14ac:dyDescent="0.25">
      <c r="A71" s="66"/>
    </row>
    <row r="72" spans="1:1" x14ac:dyDescent="0.25">
      <c r="A72" s="67" t="s">
        <v>213</v>
      </c>
    </row>
    <row r="76" spans="1:1" ht="18" x14ac:dyDescent="0.25">
      <c r="A76" s="64" t="s">
        <v>214</v>
      </c>
    </row>
    <row r="77" spans="1:1" x14ac:dyDescent="0.25">
      <c r="A77" s="66"/>
    </row>
    <row r="78" spans="1:1" x14ac:dyDescent="0.25">
      <c r="A78" s="66" t="s">
        <v>215</v>
      </c>
    </row>
    <row r="79" spans="1:1" x14ac:dyDescent="0.25">
      <c r="A79" s="66"/>
    </row>
    <row r="80" spans="1:1" x14ac:dyDescent="0.25">
      <c r="A80" s="66" t="s">
        <v>216</v>
      </c>
    </row>
    <row r="81" spans="1:2" x14ac:dyDescent="0.25">
      <c r="A81" s="66"/>
    </row>
    <row r="82" spans="1:2" x14ac:dyDescent="0.25">
      <c r="A82" s="66" t="s">
        <v>217</v>
      </c>
    </row>
    <row r="84" spans="1:2" x14ac:dyDescent="0.25">
      <c r="A84" t="s">
        <v>218</v>
      </c>
    </row>
    <row r="88" spans="1:2" ht="18" x14ac:dyDescent="0.25">
      <c r="A88" s="64" t="s">
        <v>219</v>
      </c>
    </row>
    <row r="90" spans="1:2" x14ac:dyDescent="0.25">
      <c r="A90" s="65" t="s">
        <v>220</v>
      </c>
      <c r="B90" s="65" t="s">
        <v>221</v>
      </c>
    </row>
    <row r="91" spans="1:2" x14ac:dyDescent="0.25">
      <c r="A91" s="29" t="s">
        <v>222</v>
      </c>
      <c r="B91" s="29" t="s">
        <v>223</v>
      </c>
    </row>
    <row r="92" spans="1:2" ht="30" x14ac:dyDescent="0.25">
      <c r="A92" s="29" t="s">
        <v>224</v>
      </c>
      <c r="B92" s="29" t="s">
        <v>225</v>
      </c>
    </row>
    <row r="93" spans="1:2" ht="30" x14ac:dyDescent="0.25">
      <c r="A93" s="29" t="s">
        <v>226</v>
      </c>
      <c r="B93" s="29" t="s">
        <v>227</v>
      </c>
    </row>
    <row r="94" spans="1:2" ht="30" x14ac:dyDescent="0.25">
      <c r="A94" s="29" t="s">
        <v>228</v>
      </c>
      <c r="B94" s="29" t="s">
        <v>229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theme="6" tint="0.39997558519241921"/>
  </sheetPr>
  <dimension ref="A1:K21"/>
  <sheetViews>
    <sheetView zoomScaleNormal="70" workbookViewId="0">
      <selection activeCell="F2" sqref="F2:F11"/>
    </sheetView>
  </sheetViews>
  <sheetFormatPr defaultRowHeight="15" x14ac:dyDescent="0.25"/>
  <cols>
    <col min="1" max="1" width="20.5703125" bestFit="1" customWidth="1"/>
    <col min="2" max="2" width="13.28515625" customWidth="1"/>
    <col min="3" max="3" width="15.140625" customWidth="1"/>
    <col min="4" max="4" width="22.42578125" bestFit="1" customWidth="1"/>
    <col min="5" max="5" width="24.140625" bestFit="1" customWidth="1"/>
    <col min="6" max="6" width="20.7109375" bestFit="1" customWidth="1"/>
    <col min="7" max="7" width="14.42578125" bestFit="1" customWidth="1"/>
    <col min="10" max="10" width="20.42578125" bestFit="1" customWidth="1"/>
    <col min="11" max="11" width="36" bestFit="1" customWidth="1"/>
    <col min="13" max="13" width="26.140625" bestFit="1" customWidth="1"/>
  </cols>
  <sheetData>
    <row r="1" spans="1:11" s="1" customFormat="1" ht="15.75" thickBot="1" x14ac:dyDescent="0.3">
      <c r="A1" s="2" t="s">
        <v>0</v>
      </c>
      <c r="B1" s="2" t="s">
        <v>1</v>
      </c>
      <c r="C1" s="2" t="s">
        <v>2</v>
      </c>
      <c r="D1" s="2" t="s">
        <v>3</v>
      </c>
      <c r="E1" s="2" t="s">
        <v>119</v>
      </c>
      <c r="F1" s="2" t="s">
        <v>121</v>
      </c>
      <c r="G1" s="2" t="s">
        <v>107</v>
      </c>
      <c r="H1" s="2" t="s">
        <v>4</v>
      </c>
      <c r="J1" s="2" t="s">
        <v>15</v>
      </c>
      <c r="K1" s="2"/>
    </row>
    <row r="2" spans="1:11" x14ac:dyDescent="0.25">
      <c r="A2" t="s">
        <v>5</v>
      </c>
      <c r="B2">
        <v>16</v>
      </c>
      <c r="C2">
        <v>675</v>
      </c>
      <c r="D2">
        <v>1</v>
      </c>
      <c r="E2">
        <f>'Scenario Testing'!B10</f>
        <v>1</v>
      </c>
      <c r="F2" s="13">
        <v>0</v>
      </c>
      <c r="G2">
        <f t="shared" ref="G2:G11" si="0">B2*F2</f>
        <v>0</v>
      </c>
      <c r="H2" s="7">
        <f t="shared" ref="H2:H11" si="1">C2*F2</f>
        <v>0</v>
      </c>
      <c r="J2" t="s">
        <v>117</v>
      </c>
      <c r="K2" s="57">
        <v>35</v>
      </c>
    </row>
    <row r="3" spans="1:11" x14ac:dyDescent="0.25">
      <c r="A3" t="s">
        <v>6</v>
      </c>
      <c r="B3">
        <v>12</v>
      </c>
      <c r="C3">
        <v>540</v>
      </c>
      <c r="D3">
        <v>1</v>
      </c>
      <c r="E3">
        <f>'Scenario Testing'!B11</f>
        <v>1</v>
      </c>
      <c r="F3" s="13">
        <v>0</v>
      </c>
      <c r="G3">
        <f t="shared" si="0"/>
        <v>0</v>
      </c>
      <c r="H3" s="7">
        <f t="shared" si="1"/>
        <v>0</v>
      </c>
      <c r="J3" t="s">
        <v>123</v>
      </c>
      <c r="K3" t="str">
        <f>IF(K2&gt;B14,"⚠️ Group size exceeds available capacity.","")</f>
        <v/>
      </c>
    </row>
    <row r="4" spans="1:11" x14ac:dyDescent="0.25">
      <c r="A4" t="s">
        <v>7</v>
      </c>
      <c r="B4">
        <v>11</v>
      </c>
      <c r="C4">
        <v>515</v>
      </c>
      <c r="D4">
        <v>1</v>
      </c>
      <c r="E4">
        <f>'Scenario Testing'!B12</f>
        <v>1</v>
      </c>
      <c r="F4" s="13">
        <v>1</v>
      </c>
      <c r="G4">
        <f t="shared" si="0"/>
        <v>11</v>
      </c>
      <c r="H4" s="7">
        <f t="shared" si="1"/>
        <v>515</v>
      </c>
      <c r="J4" t="s">
        <v>111</v>
      </c>
      <c r="K4">
        <f>MAX(0,K2-B14)</f>
        <v>0</v>
      </c>
    </row>
    <row r="5" spans="1:11" x14ac:dyDescent="0.25">
      <c r="A5" t="s">
        <v>8</v>
      </c>
      <c r="B5">
        <v>8</v>
      </c>
      <c r="C5">
        <v>430</v>
      </c>
      <c r="D5">
        <v>1</v>
      </c>
      <c r="E5">
        <f>'Scenario Testing'!B13</f>
        <v>1</v>
      </c>
      <c r="F5" s="13">
        <v>1</v>
      </c>
      <c r="G5">
        <f t="shared" si="0"/>
        <v>8</v>
      </c>
      <c r="H5" s="7">
        <f t="shared" si="1"/>
        <v>430</v>
      </c>
      <c r="J5" t="s">
        <v>112</v>
      </c>
      <c r="K5" s="13">
        <f>IF(B14=0,0,B15/B14)</f>
        <v>60.357142857142854</v>
      </c>
    </row>
    <row r="6" spans="1:11" x14ac:dyDescent="0.25">
      <c r="A6" t="s">
        <v>9</v>
      </c>
      <c r="B6">
        <v>8</v>
      </c>
      <c r="C6">
        <v>365</v>
      </c>
      <c r="D6">
        <v>1</v>
      </c>
      <c r="E6">
        <f>'Scenario Testing'!B14</f>
        <v>1</v>
      </c>
      <c r="F6" s="13">
        <v>0.5</v>
      </c>
      <c r="G6">
        <f t="shared" si="0"/>
        <v>4</v>
      </c>
      <c r="H6" s="7">
        <f t="shared" si="1"/>
        <v>182.5</v>
      </c>
    </row>
    <row r="7" spans="1:11" x14ac:dyDescent="0.25">
      <c r="A7" t="s">
        <v>10</v>
      </c>
      <c r="B7">
        <v>8</v>
      </c>
      <c r="C7">
        <v>365</v>
      </c>
      <c r="D7">
        <v>1</v>
      </c>
      <c r="E7">
        <f>'Scenario Testing'!B15</f>
        <v>1</v>
      </c>
      <c r="F7" s="13">
        <v>0</v>
      </c>
      <c r="G7">
        <f t="shared" si="0"/>
        <v>0</v>
      </c>
      <c r="H7" s="7">
        <f t="shared" si="1"/>
        <v>0</v>
      </c>
    </row>
    <row r="8" spans="1:11" x14ac:dyDescent="0.25">
      <c r="A8" t="s">
        <v>11</v>
      </c>
      <c r="B8">
        <v>4</v>
      </c>
      <c r="C8">
        <v>315</v>
      </c>
      <c r="D8">
        <v>1</v>
      </c>
      <c r="E8">
        <f>'Scenario Testing'!B16</f>
        <v>1</v>
      </c>
      <c r="F8" s="13">
        <v>1</v>
      </c>
      <c r="G8">
        <f t="shared" si="0"/>
        <v>4</v>
      </c>
      <c r="H8" s="7">
        <f t="shared" si="1"/>
        <v>315</v>
      </c>
    </row>
    <row r="9" spans="1:11" x14ac:dyDescent="0.25">
      <c r="A9" t="s">
        <v>12</v>
      </c>
      <c r="B9">
        <v>2</v>
      </c>
      <c r="C9">
        <v>200</v>
      </c>
      <c r="D9">
        <v>1</v>
      </c>
      <c r="E9">
        <f>'Scenario Testing'!B17</f>
        <v>1</v>
      </c>
      <c r="F9" s="13">
        <v>1</v>
      </c>
      <c r="G9">
        <f t="shared" si="0"/>
        <v>2</v>
      </c>
      <c r="H9" s="7">
        <f t="shared" si="1"/>
        <v>200</v>
      </c>
    </row>
    <row r="10" spans="1:11" x14ac:dyDescent="0.25">
      <c r="A10" t="s">
        <v>13</v>
      </c>
      <c r="B10">
        <v>4</v>
      </c>
      <c r="C10">
        <v>270</v>
      </c>
      <c r="D10">
        <v>1</v>
      </c>
      <c r="E10">
        <f>'Scenario Testing'!B18</f>
        <v>1</v>
      </c>
      <c r="F10" s="13">
        <v>1</v>
      </c>
      <c r="G10">
        <f t="shared" si="0"/>
        <v>4</v>
      </c>
      <c r="H10" s="7">
        <f t="shared" si="1"/>
        <v>270</v>
      </c>
    </row>
    <row r="11" spans="1:11" x14ac:dyDescent="0.25">
      <c r="A11" t="s">
        <v>14</v>
      </c>
      <c r="B11">
        <v>2</v>
      </c>
      <c r="C11">
        <v>200</v>
      </c>
      <c r="D11">
        <v>1</v>
      </c>
      <c r="E11">
        <f>'Scenario Testing'!B19</f>
        <v>1</v>
      </c>
      <c r="F11" s="13">
        <v>1</v>
      </c>
      <c r="G11">
        <f t="shared" si="0"/>
        <v>2</v>
      </c>
      <c r="H11" s="7">
        <f t="shared" si="1"/>
        <v>200</v>
      </c>
    </row>
    <row r="12" spans="1:11" x14ac:dyDescent="0.25">
      <c r="J12" s="8"/>
    </row>
    <row r="13" spans="1:11" x14ac:dyDescent="0.25">
      <c r="J13" s="8"/>
    </row>
    <row r="14" spans="1:11" x14ac:dyDescent="0.25">
      <c r="A14" s="4" t="s">
        <v>118</v>
      </c>
      <c r="B14" s="5">
        <f>SUM(G2:G11)</f>
        <v>35</v>
      </c>
      <c r="G14" s="8"/>
    </row>
    <row r="15" spans="1:11" x14ac:dyDescent="0.25">
      <c r="A15" s="4" t="s">
        <v>16</v>
      </c>
      <c r="B15" s="6">
        <f>SUM(H2:H11)</f>
        <v>2112.5</v>
      </c>
      <c r="G15" s="8"/>
    </row>
    <row r="16" spans="1:11" x14ac:dyDescent="0.25">
      <c r="A16" s="4" t="s">
        <v>124</v>
      </c>
      <c r="B16" s="5">
        <f>SUM(B2:B11)</f>
        <v>75</v>
      </c>
      <c r="I16" s="8"/>
    </row>
    <row r="17" spans="1:10" x14ac:dyDescent="0.25">
      <c r="A17" s="4" t="s">
        <v>108</v>
      </c>
      <c r="B17" s="9">
        <f>SUM(F2:F11)/COUNT(F2:F11)</f>
        <v>0.65</v>
      </c>
      <c r="D17" s="15"/>
      <c r="J17" s="8"/>
    </row>
    <row r="18" spans="1:10" x14ac:dyDescent="0.25">
      <c r="D18" s="14"/>
      <c r="J18" s="8"/>
    </row>
    <row r="19" spans="1:10" x14ac:dyDescent="0.25">
      <c r="J19" s="8"/>
    </row>
    <row r="20" spans="1:10" x14ac:dyDescent="0.25">
      <c r="J20" s="8"/>
    </row>
    <row r="21" spans="1:10" x14ac:dyDescent="0.25">
      <c r="G21" s="8"/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35D691-8765-4436-8EB7-A62C713857D1}">
  <sheetPr codeName="Sheet3">
    <tabColor rgb="FFFFFF00"/>
  </sheetPr>
  <dimension ref="A2:M44"/>
  <sheetViews>
    <sheetView zoomScale="70" zoomScaleNormal="70" workbookViewId="0">
      <pane ySplit="11" topLeftCell="A12" activePane="bottomLeft" state="frozen"/>
      <selection pane="bottomLeft" activeCell="D20" sqref="D20"/>
    </sheetView>
  </sheetViews>
  <sheetFormatPr defaultRowHeight="15" x14ac:dyDescent="0.25"/>
  <cols>
    <col min="1" max="1" width="35.85546875" customWidth="1"/>
    <col min="2" max="2" width="30" customWidth="1"/>
    <col min="3" max="3" width="33.42578125" bestFit="1" customWidth="1"/>
    <col min="4" max="4" width="27.85546875" bestFit="1" customWidth="1"/>
    <col min="5" max="5" width="15.85546875" customWidth="1"/>
    <col min="6" max="6" width="17.5703125" customWidth="1"/>
    <col min="7" max="7" width="20.140625" bestFit="1" customWidth="1"/>
    <col min="8" max="8" width="19.5703125" bestFit="1" customWidth="1"/>
  </cols>
  <sheetData>
    <row r="2" spans="1:8" ht="21" x14ac:dyDescent="0.35">
      <c r="A2" s="94" t="s">
        <v>141</v>
      </c>
      <c r="B2" s="95"/>
      <c r="C2" s="95"/>
      <c r="D2" s="95"/>
    </row>
    <row r="3" spans="1:8" x14ac:dyDescent="0.25">
      <c r="A3" s="27" t="s">
        <v>104</v>
      </c>
      <c r="B3" s="26">
        <f ca="1">TODAY()</f>
        <v>46218</v>
      </c>
    </row>
    <row r="4" spans="1:8" x14ac:dyDescent="0.25">
      <c r="A4" s="28" t="s">
        <v>142</v>
      </c>
      <c r="B4" s="25">
        <f>COUNTIF($F$12:$F$1000, "Confirmed")</f>
        <v>4</v>
      </c>
    </row>
    <row r="5" spans="1:8" x14ac:dyDescent="0.25">
      <c r="A5" s="28" t="s">
        <v>91</v>
      </c>
      <c r="B5" s="25">
        <f>COUNTIF($F$12:$F$1000, "Active Interest")</f>
        <v>4</v>
      </c>
    </row>
    <row r="6" spans="1:8" x14ac:dyDescent="0.25">
      <c r="A6" s="28" t="s">
        <v>63</v>
      </c>
      <c r="B6" s="25">
        <f>COUNTIF($F$12:$F$1000, "Ghosted")</f>
        <v>10</v>
      </c>
    </row>
    <row r="7" spans="1:8" x14ac:dyDescent="0.25">
      <c r="A7" s="28" t="s">
        <v>143</v>
      </c>
      <c r="B7" s="25">
        <f ca="1">COUNTIF(G12:G1000, "YES")</f>
        <v>4</v>
      </c>
    </row>
    <row r="8" spans="1:8" x14ac:dyDescent="0.25">
      <c r="A8" s="28" t="s">
        <v>144</v>
      </c>
      <c r="B8" s="25">
        <f>AVERAGEIF(E12:E44, "&gt;1")</f>
        <v>5.666666666666667</v>
      </c>
    </row>
    <row r="11" spans="1:8" ht="15.75" thickBot="1" x14ac:dyDescent="0.3">
      <c r="A11" s="30" t="s">
        <v>106</v>
      </c>
      <c r="B11" s="31" t="s">
        <v>105</v>
      </c>
      <c r="C11" s="31" t="s">
        <v>62</v>
      </c>
      <c r="D11" s="31" t="s">
        <v>102</v>
      </c>
      <c r="E11" s="31" t="s">
        <v>103</v>
      </c>
      <c r="F11" s="47" t="s">
        <v>101</v>
      </c>
      <c r="G11" s="31" t="s">
        <v>146</v>
      </c>
      <c r="H11" s="31" t="s">
        <v>147</v>
      </c>
    </row>
    <row r="12" spans="1:8" ht="15.75" thickTop="1" x14ac:dyDescent="0.25">
      <c r="A12" s="32" t="s">
        <v>153</v>
      </c>
      <c r="B12" s="33" t="s">
        <v>152</v>
      </c>
      <c r="C12" s="33" t="s">
        <v>152</v>
      </c>
      <c r="D12" s="34" t="str">
        <f>IF(H12 = "", "Pending Readiness", $B$3 - H12)</f>
        <v>Pending Readiness</v>
      </c>
      <c r="E12" s="34">
        <v>10</v>
      </c>
      <c r="F12" s="48" t="s">
        <v>150</v>
      </c>
      <c r="G12" s="35" t="str" cm="1">
        <f t="array" ref="G12">_xlfn.IFS(
   F12="Confirmed", "NA",
   F12="Ghosted", "NO",
   D12="Pending Readiness", "Not Yet",
   D12&gt;14, "YES",
   TRUE, "NO"
)</f>
        <v>NA</v>
      </c>
      <c r="H12" s="35"/>
    </row>
    <row r="13" spans="1:8" x14ac:dyDescent="0.25">
      <c r="A13" s="36" t="s">
        <v>154</v>
      </c>
      <c r="B13" s="37" t="s">
        <v>152</v>
      </c>
      <c r="C13" s="37" t="s">
        <v>152</v>
      </c>
      <c r="D13" s="38" t="str">
        <f>IF(H13 = "", "Pending Readiness", $B$3 - H13)</f>
        <v>Pending Readiness</v>
      </c>
      <c r="E13" s="38">
        <v>10</v>
      </c>
      <c r="F13" s="49" t="s">
        <v>150</v>
      </c>
      <c r="G13" s="39" t="str" cm="1">
        <f t="array" ref="G13">_xlfn.IFS(
   F13="Confirmed", "NA",
   F13="Ghosted", "NO",
   D13="Pending Readiness", "Not Yet",
   D13&gt;14, "YES",
   TRUE, "NO"
)</f>
        <v>NA</v>
      </c>
      <c r="H13" s="39"/>
    </row>
    <row r="14" spans="1:8" x14ac:dyDescent="0.25">
      <c r="A14" s="36" t="s">
        <v>155</v>
      </c>
      <c r="B14" s="37" t="s">
        <v>152</v>
      </c>
      <c r="C14" s="37" t="s">
        <v>152</v>
      </c>
      <c r="D14" s="38" t="str">
        <f>IF(H14 = "", "Pending Readiness", $B$3 - H14)</f>
        <v>Pending Readiness</v>
      </c>
      <c r="E14" s="38">
        <v>10</v>
      </c>
      <c r="F14" s="49" t="s">
        <v>150</v>
      </c>
      <c r="G14" s="39" t="str" cm="1">
        <f t="array" ref="G14">_xlfn.IFS(
   F14="Confirmed", "NA",
   F14="Ghosted", "NO",
   D14="Pending Readiness", "Not Yet",
   D14&gt;14, "YES",
   TRUE, "NO"
)</f>
        <v>NA</v>
      </c>
      <c r="H14" s="39"/>
    </row>
    <row r="15" spans="1:8" x14ac:dyDescent="0.25">
      <c r="A15" s="36" t="s">
        <v>151</v>
      </c>
      <c r="B15" s="37" t="s">
        <v>152</v>
      </c>
      <c r="C15" s="37" t="s">
        <v>152</v>
      </c>
      <c r="D15" s="38" t="str">
        <f>IF(H15 = "", "Pending Readiness", $B$3 - H15)</f>
        <v>Pending Readiness</v>
      </c>
      <c r="E15" s="38">
        <v>10</v>
      </c>
      <c r="F15" s="49" t="s">
        <v>150</v>
      </c>
      <c r="G15" s="39" t="str" cm="1">
        <f t="array" ref="G15">_xlfn.IFS(
   F15="Confirmed", "NA",
   F15="Ghosted", "NO",
   D15="Pending Readiness", "Not Yet",
   D15&gt;14, "YES",
   TRUE, "NO"
)</f>
        <v>NA</v>
      </c>
      <c r="H15" s="39"/>
    </row>
    <row r="16" spans="1:8" x14ac:dyDescent="0.25">
      <c r="A16" s="40" t="s">
        <v>100</v>
      </c>
      <c r="B16" s="41" t="s">
        <v>99</v>
      </c>
      <c r="C16" s="41" t="s">
        <v>98</v>
      </c>
      <c r="D16" s="53">
        <f ca="1">IF(H16 = "", "Pending Readiness", $B$3 - H16)</f>
        <v>456</v>
      </c>
      <c r="E16" s="52">
        <v>8.5</v>
      </c>
      <c r="F16" s="50" t="s">
        <v>91</v>
      </c>
      <c r="G16" s="46" t="str" cm="1">
        <f t="array" aca="1" ref="G16" ca="1">_xlfn.IFS(
   F16="Confirmed", "NA",
   F16="Ghosted", "NO",
   D16="Pending Readiness", "Not Yet",
   D16&gt;14, "YES",
   TRUE, "NO"
)</f>
        <v>YES</v>
      </c>
      <c r="H16" s="42">
        <v>45762</v>
      </c>
    </row>
    <row r="17" spans="1:13" x14ac:dyDescent="0.25">
      <c r="A17" s="40" t="s">
        <v>97</v>
      </c>
      <c r="B17" s="41" t="s">
        <v>96</v>
      </c>
      <c r="C17" s="41" t="s">
        <v>95</v>
      </c>
      <c r="D17" s="53">
        <f t="shared" ref="D17:D44" ca="1" si="0">IF(H17 = "", "Pending Readiness", $B$3 - H17)</f>
        <v>454</v>
      </c>
      <c r="E17" s="52">
        <v>7.5</v>
      </c>
      <c r="F17" s="51" t="s">
        <v>91</v>
      </c>
      <c r="G17" s="46" t="str" cm="1">
        <f t="array" aca="1" ref="G17" ca="1">_xlfn.IFS(
   F17="Confirmed", "NA",
   F17="Ghosted", "NO",
   D17="Pending Readiness", "Not Yet",
   D17&gt;14, "YES",
   TRUE, "NO"
)</f>
        <v>YES</v>
      </c>
      <c r="H17" s="42">
        <v>45764</v>
      </c>
    </row>
    <row r="18" spans="1:13" x14ac:dyDescent="0.25">
      <c r="A18" s="40" t="s">
        <v>94</v>
      </c>
      <c r="B18" s="41" t="s">
        <v>93</v>
      </c>
      <c r="C18" s="41" t="s">
        <v>92</v>
      </c>
      <c r="D18" s="53">
        <f t="shared" ca="1" si="0"/>
        <v>454</v>
      </c>
      <c r="E18" s="52">
        <v>8</v>
      </c>
      <c r="F18" s="50" t="s">
        <v>91</v>
      </c>
      <c r="G18" s="46" t="str" cm="1">
        <f t="array" aca="1" ref="G18" ca="1">_xlfn.IFS(
   F18="Confirmed", "NA",
   F18="Ghosted", "NO",
   D18="Pending Readiness", "Not Yet",
   D18&gt;14, "YES",
   TRUE, "NO"
)</f>
        <v>YES</v>
      </c>
      <c r="H18" s="42">
        <v>45764</v>
      </c>
    </row>
    <row r="19" spans="1:13" x14ac:dyDescent="0.25">
      <c r="A19" s="40" t="s">
        <v>128</v>
      </c>
      <c r="B19" s="41" t="s">
        <v>149</v>
      </c>
      <c r="C19" s="41" t="s">
        <v>148</v>
      </c>
      <c r="D19" s="53">
        <f t="shared" ca="1" si="0"/>
        <v>453</v>
      </c>
      <c r="E19" s="52">
        <v>8</v>
      </c>
      <c r="F19" s="50" t="s">
        <v>91</v>
      </c>
      <c r="G19" s="46" t="str" cm="1">
        <f t="array" aca="1" ref="G19" ca="1">_xlfn.IFS(
   F19="Confirmed", "NA",
   F19="Ghosted", "NO",
   D19="Pending Readiness", "Not Yet",
   D19&gt;14, "YES",
   TRUE, "NO"
)</f>
        <v>YES</v>
      </c>
      <c r="H19" s="42">
        <v>45765</v>
      </c>
    </row>
    <row r="20" spans="1:13" x14ac:dyDescent="0.25">
      <c r="A20" s="40" t="s">
        <v>90</v>
      </c>
      <c r="B20" s="41" t="s">
        <v>89</v>
      </c>
      <c r="C20" s="41" t="s">
        <v>88</v>
      </c>
      <c r="D20" s="53">
        <f t="shared" ca="1" si="0"/>
        <v>461</v>
      </c>
      <c r="E20" s="52">
        <v>3</v>
      </c>
      <c r="F20" s="51" t="s">
        <v>63</v>
      </c>
      <c r="G20" s="46" t="str" cm="1">
        <f t="array" aca="1" ref="G20" ca="1">_xlfn.IFS(
   F20="Confirmed", "NA",
   F20="Ghosted", "NO",
   D20="Pending Readiness", "Not Yet",
   D20&gt;14, "YES",
   TRUE, "NO"
)</f>
        <v>NO</v>
      </c>
      <c r="H20" s="42">
        <v>45757</v>
      </c>
    </row>
    <row r="21" spans="1:13" x14ac:dyDescent="0.25">
      <c r="A21" s="40" t="s">
        <v>87</v>
      </c>
      <c r="B21" s="41" t="s">
        <v>86</v>
      </c>
      <c r="C21" s="41" t="s">
        <v>85</v>
      </c>
      <c r="D21" s="53">
        <f t="shared" ca="1" si="0"/>
        <v>461</v>
      </c>
      <c r="E21" s="52">
        <v>3</v>
      </c>
      <c r="F21" s="51" t="s">
        <v>63</v>
      </c>
      <c r="G21" s="46" t="str" cm="1">
        <f t="array" aca="1" ref="G21" ca="1">_xlfn.IFS(
   F21="Confirmed", "NA",
   F21="Ghosted", "NO",
   D21="Pending Readiness", "Not Yet",
   D21&gt;14, "YES",
   TRUE, "NO"
)</f>
        <v>NO</v>
      </c>
      <c r="H21" s="42">
        <v>45757</v>
      </c>
    </row>
    <row r="22" spans="1:13" x14ac:dyDescent="0.25">
      <c r="A22" s="40" t="s">
        <v>84</v>
      </c>
      <c r="B22" s="41" t="s">
        <v>83</v>
      </c>
      <c r="C22" s="41" t="s">
        <v>82</v>
      </c>
      <c r="D22" s="53">
        <f t="shared" ca="1" si="0"/>
        <v>461</v>
      </c>
      <c r="E22" s="52">
        <v>3</v>
      </c>
      <c r="F22" s="51" t="s">
        <v>63</v>
      </c>
      <c r="G22" s="46" t="str" cm="1">
        <f t="array" aca="1" ref="G22" ca="1">_xlfn.IFS(
   F22="Confirmed", "NA",
   F22="Ghosted", "NO",
   D22="Pending Readiness", "Not Yet",
   D22&gt;14, "YES",
   TRUE, "NO"
)</f>
        <v>NO</v>
      </c>
      <c r="H22" s="42">
        <v>45757</v>
      </c>
    </row>
    <row r="23" spans="1:13" x14ac:dyDescent="0.25">
      <c r="A23" s="40" t="s">
        <v>81</v>
      </c>
      <c r="B23" s="41" t="s">
        <v>80</v>
      </c>
      <c r="C23" s="41" t="s">
        <v>79</v>
      </c>
      <c r="D23" s="53">
        <f t="shared" ca="1" si="0"/>
        <v>461</v>
      </c>
      <c r="E23" s="52">
        <v>3</v>
      </c>
      <c r="F23" s="51" t="s">
        <v>63</v>
      </c>
      <c r="G23" s="46" t="str" cm="1">
        <f t="array" aca="1" ref="G23" ca="1">_xlfn.IFS(
   F23="Confirmed", "NA",
   F23="Ghosted", "NO",
   D23="Pending Readiness", "Not Yet",
   D23&gt;14, "YES",
   TRUE, "NO"
)</f>
        <v>NO</v>
      </c>
      <c r="H23" s="42">
        <v>45757</v>
      </c>
    </row>
    <row r="24" spans="1:13" x14ac:dyDescent="0.25">
      <c r="A24" s="40" t="s">
        <v>78</v>
      </c>
      <c r="B24" s="41" t="s">
        <v>77</v>
      </c>
      <c r="C24" s="41" t="s">
        <v>76</v>
      </c>
      <c r="D24" s="53">
        <f t="shared" ca="1" si="0"/>
        <v>461</v>
      </c>
      <c r="E24" s="52">
        <v>3</v>
      </c>
      <c r="F24" s="51" t="s">
        <v>63</v>
      </c>
      <c r="G24" s="46" t="str" cm="1">
        <f t="array" aca="1" ref="G24" ca="1">_xlfn.IFS(
   F24="Confirmed", "NA",
   F24="Ghosted", "NO",
   D24="Pending Readiness", "Not Yet",
   D24&gt;14, "YES",
   TRUE, "NO"
)</f>
        <v>NO</v>
      </c>
      <c r="H24" s="42">
        <v>45757</v>
      </c>
    </row>
    <row r="25" spans="1:13" x14ac:dyDescent="0.25">
      <c r="A25" s="40" t="s">
        <v>75</v>
      </c>
      <c r="B25" s="41" t="s">
        <v>74</v>
      </c>
      <c r="C25" s="41" t="s">
        <v>73</v>
      </c>
      <c r="D25" s="53">
        <f t="shared" ca="1" si="0"/>
        <v>461</v>
      </c>
      <c r="E25" s="52">
        <v>3</v>
      </c>
      <c r="F25" s="51" t="s">
        <v>63</v>
      </c>
      <c r="G25" s="46" t="str" cm="1">
        <f t="array" aca="1" ref="G25" ca="1">_xlfn.IFS(
   F25="Confirmed", "NA",
   F25="Ghosted", "NO",
   D25="Pending Readiness", "Not Yet",
   D25&gt;14, "YES",
   TRUE, "NO"
)</f>
        <v>NO</v>
      </c>
      <c r="H25" s="42">
        <v>45757</v>
      </c>
    </row>
    <row r="26" spans="1:13" x14ac:dyDescent="0.25">
      <c r="A26" s="40" t="s">
        <v>72</v>
      </c>
      <c r="B26" s="41" t="s">
        <v>65</v>
      </c>
      <c r="C26" s="41" t="s">
        <v>71</v>
      </c>
      <c r="D26" s="53">
        <f t="shared" ca="1" si="0"/>
        <v>461</v>
      </c>
      <c r="E26" s="52">
        <v>3</v>
      </c>
      <c r="F26" s="51" t="s">
        <v>63</v>
      </c>
      <c r="G26" s="46" t="str" cm="1">
        <f t="array" aca="1" ref="G26" ca="1">_xlfn.IFS(
   F26="Confirmed", "NA",
   F26="Ghosted", "NO",
   D26="Pending Readiness", "Not Yet",
   D26&gt;14, "YES",
   TRUE, "NO"
)</f>
        <v>NO</v>
      </c>
      <c r="H26" s="42">
        <v>45757</v>
      </c>
    </row>
    <row r="27" spans="1:13" x14ac:dyDescent="0.25">
      <c r="A27" s="40" t="s">
        <v>70</v>
      </c>
      <c r="B27" s="41" t="s">
        <v>65</v>
      </c>
      <c r="C27" s="41" t="s">
        <v>69</v>
      </c>
      <c r="D27" s="53">
        <f t="shared" ca="1" si="0"/>
        <v>461</v>
      </c>
      <c r="E27" s="52">
        <v>3</v>
      </c>
      <c r="F27" s="50" t="s">
        <v>63</v>
      </c>
      <c r="G27" s="46" t="str" cm="1">
        <f t="array" aca="1" ref="G27" ca="1">_xlfn.IFS(
   F27="Confirmed", "NA",
   F27="Ghosted", "NO",
   D27="Pending Readiness", "Not Yet",
   D27&gt;14, "YES",
   TRUE, "NO"
)</f>
        <v>NO</v>
      </c>
      <c r="H27" s="42">
        <v>45757</v>
      </c>
    </row>
    <row r="28" spans="1:13" x14ac:dyDescent="0.25">
      <c r="A28" s="40" t="s">
        <v>68</v>
      </c>
      <c r="B28" s="41" t="s">
        <v>65</v>
      </c>
      <c r="C28" s="41" t="s">
        <v>67</v>
      </c>
      <c r="D28" s="53">
        <f t="shared" ca="1" si="0"/>
        <v>461</v>
      </c>
      <c r="E28" s="52">
        <v>3</v>
      </c>
      <c r="F28" s="51" t="s">
        <v>63</v>
      </c>
      <c r="G28" s="46" t="str" cm="1">
        <f t="array" aca="1" ref="G28" ca="1">_xlfn.IFS(
   F28="Confirmed", "NA",
   F28="Ghosted", "NO",
   D28="Pending Readiness", "Not Yet",
   D28&gt;14, "YES",
   TRUE, "NO"
)</f>
        <v>NO</v>
      </c>
      <c r="H28" s="42">
        <v>45757</v>
      </c>
      <c r="M28" s="23" t="s">
        <v>161</v>
      </c>
    </row>
    <row r="29" spans="1:13" x14ac:dyDescent="0.25">
      <c r="A29" s="40" t="s">
        <v>66</v>
      </c>
      <c r="B29" s="41" t="s">
        <v>65</v>
      </c>
      <c r="C29" s="41" t="s">
        <v>64</v>
      </c>
      <c r="D29" s="53">
        <f t="shared" ca="1" si="0"/>
        <v>461</v>
      </c>
      <c r="E29" s="52">
        <v>3</v>
      </c>
      <c r="F29" s="50" t="s">
        <v>63</v>
      </c>
      <c r="G29" s="46" t="str" cm="1">
        <f t="array" aca="1" ref="G29" ca="1">_xlfn.IFS(
   F29="Confirmed", "NA",
   F29="Ghosted", "NO",
   D29="Pending Readiness", "Not Yet",
   D29&gt;14, "YES",
   TRUE, "NO"
)</f>
        <v>NO</v>
      </c>
      <c r="H29" s="42">
        <v>45757</v>
      </c>
      <c r="M29" s="23">
        <v>1</v>
      </c>
    </row>
    <row r="30" spans="1:13" x14ac:dyDescent="0.25">
      <c r="A30" s="40" t="s">
        <v>61</v>
      </c>
      <c r="B30" s="41" t="s">
        <v>60</v>
      </c>
      <c r="C30" s="41" t="s">
        <v>59</v>
      </c>
      <c r="D30" s="53" t="str">
        <f t="shared" si="0"/>
        <v>Pending Readiness</v>
      </c>
      <c r="E30" s="52">
        <v>1</v>
      </c>
      <c r="F30" s="51" t="s">
        <v>145</v>
      </c>
      <c r="G30" s="46" t="str" cm="1">
        <f t="array" ref="G30">_xlfn.IFS(
   F30="Confirmed", "NA",
   F30="Ghosted", "NO",
   D30="Pending Readiness", "Not Yet",
   D30&gt;14, "YES",
   TRUE, "NO"
)</f>
        <v>Not Yet</v>
      </c>
      <c r="H30" s="41"/>
    </row>
    <row r="31" spans="1:13" x14ac:dyDescent="0.25">
      <c r="A31" s="40" t="s">
        <v>58</v>
      </c>
      <c r="B31" s="41" t="s">
        <v>57</v>
      </c>
      <c r="C31" s="41" t="s">
        <v>56</v>
      </c>
      <c r="D31" s="53" t="str">
        <f t="shared" si="0"/>
        <v>Pending Readiness</v>
      </c>
      <c r="E31" s="52">
        <v>1</v>
      </c>
      <c r="F31" s="52" t="s">
        <v>145</v>
      </c>
      <c r="G31" s="46" t="str" cm="1">
        <f t="array" ref="G31">_xlfn.IFS(
   F31="Confirmed", "NA",
   F31="Ghosted", "NO",
   D31="Pending Readiness", "Not Yet",
   D31&gt;14, "YES",
   TRUE, "NO"
)</f>
        <v>Not Yet</v>
      </c>
      <c r="H31" s="41"/>
    </row>
    <row r="32" spans="1:13" x14ac:dyDescent="0.25">
      <c r="A32" s="40" t="s">
        <v>55</v>
      </c>
      <c r="B32" s="41" t="s">
        <v>54</v>
      </c>
      <c r="C32" s="41" t="s">
        <v>53</v>
      </c>
      <c r="D32" s="53" t="str">
        <f t="shared" si="0"/>
        <v>Pending Readiness</v>
      </c>
      <c r="E32" s="52">
        <v>1</v>
      </c>
      <c r="F32" s="52" t="s">
        <v>145</v>
      </c>
      <c r="G32" s="46" t="str" cm="1">
        <f t="array" ref="G32">_xlfn.IFS(
   F32="Confirmed", "NA",
   F32="Ghosted", "NO",
   D32="Pending Readiness", "Not Yet",
   D32&gt;14, "YES",
   TRUE, "NO"
)</f>
        <v>Not Yet</v>
      </c>
      <c r="H32" s="41"/>
    </row>
    <row r="33" spans="1:8" x14ac:dyDescent="0.25">
      <c r="A33" s="40" t="s">
        <v>52</v>
      </c>
      <c r="B33" s="41" t="s">
        <v>51</v>
      </c>
      <c r="C33" s="41" t="s">
        <v>50</v>
      </c>
      <c r="D33" s="53" t="str">
        <f t="shared" si="0"/>
        <v>Pending Readiness</v>
      </c>
      <c r="E33" s="52">
        <v>1</v>
      </c>
      <c r="F33" s="52" t="s">
        <v>145</v>
      </c>
      <c r="G33" s="46" t="str" cm="1">
        <f t="array" ref="G33">_xlfn.IFS(
   F33="Confirmed", "NA",
   F33="Ghosted", "NO",
   D33="Pending Readiness", "Not Yet",
   D33&gt;14, "YES",
   TRUE, "NO"
)</f>
        <v>Not Yet</v>
      </c>
      <c r="H33" s="41"/>
    </row>
    <row r="34" spans="1:8" x14ac:dyDescent="0.25">
      <c r="A34" s="40" t="s">
        <v>49</v>
      </c>
      <c r="B34" s="41" t="s">
        <v>48</v>
      </c>
      <c r="C34" s="41" t="s">
        <v>47</v>
      </c>
      <c r="D34" s="53" t="str">
        <f t="shared" si="0"/>
        <v>Pending Readiness</v>
      </c>
      <c r="E34" s="52">
        <v>1</v>
      </c>
      <c r="F34" s="52" t="s">
        <v>145</v>
      </c>
      <c r="G34" s="46" t="str" cm="1">
        <f t="array" ref="G34">_xlfn.IFS(
   F34="Confirmed", "NA",
   F34="Ghosted", "NO",
   D34="Pending Readiness", "Not Yet",
   D34&gt;14, "YES",
   TRUE, "NO"
)</f>
        <v>Not Yet</v>
      </c>
      <c r="H34" s="41"/>
    </row>
    <row r="35" spans="1:8" x14ac:dyDescent="0.25">
      <c r="A35" s="40" t="s">
        <v>46</v>
      </c>
      <c r="B35" s="41" t="s">
        <v>45</v>
      </c>
      <c r="C35" s="41" t="s">
        <v>44</v>
      </c>
      <c r="D35" s="53" t="str">
        <f t="shared" si="0"/>
        <v>Pending Readiness</v>
      </c>
      <c r="E35" s="52">
        <v>1</v>
      </c>
      <c r="F35" s="52" t="s">
        <v>145</v>
      </c>
      <c r="G35" s="46" t="str" cm="1">
        <f t="array" ref="G35">_xlfn.IFS(
   F35="Confirmed", "NA",
   F35="Ghosted", "NO",
   D35="Pending Readiness", "Not Yet",
   D35&gt;14, "YES",
   TRUE, "NO"
)</f>
        <v>Not Yet</v>
      </c>
      <c r="H35" s="41"/>
    </row>
    <row r="36" spans="1:8" x14ac:dyDescent="0.25">
      <c r="A36" s="40" t="s">
        <v>43</v>
      </c>
      <c r="B36" s="41" t="s">
        <v>42</v>
      </c>
      <c r="C36" s="41" t="s">
        <v>41</v>
      </c>
      <c r="D36" s="53" t="str">
        <f t="shared" si="0"/>
        <v>Pending Readiness</v>
      </c>
      <c r="E36" s="52">
        <v>1</v>
      </c>
      <c r="F36" s="52" t="s">
        <v>145</v>
      </c>
      <c r="G36" s="46" t="str" cm="1">
        <f t="array" ref="G36">_xlfn.IFS(
   F36="Confirmed", "NA",
   F36="Ghosted", "NO",
   D36="Pending Readiness", "Not Yet",
   D36&gt;14, "YES",
   TRUE, "NO"
)</f>
        <v>Not Yet</v>
      </c>
      <c r="H36" s="41"/>
    </row>
    <row r="37" spans="1:8" x14ac:dyDescent="0.25">
      <c r="A37" s="40" t="s">
        <v>40</v>
      </c>
      <c r="B37" s="41" t="s">
        <v>39</v>
      </c>
      <c r="C37" s="41" t="s">
        <v>38</v>
      </c>
      <c r="D37" s="53" t="str">
        <f t="shared" si="0"/>
        <v>Pending Readiness</v>
      </c>
      <c r="E37" s="52">
        <v>1</v>
      </c>
      <c r="F37" s="52" t="s">
        <v>145</v>
      </c>
      <c r="G37" s="46" t="str" cm="1">
        <f t="array" ref="G37">_xlfn.IFS(
   F37="Confirmed", "NA",
   F37="Ghosted", "NO",
   D37="Pending Readiness", "Not Yet",
   D37&gt;14, "YES",
   TRUE, "NO"
)</f>
        <v>Not Yet</v>
      </c>
      <c r="H37" s="41"/>
    </row>
    <row r="38" spans="1:8" x14ac:dyDescent="0.25">
      <c r="A38" s="40" t="s">
        <v>37</v>
      </c>
      <c r="B38" s="41" t="s">
        <v>36</v>
      </c>
      <c r="C38" s="41" t="s">
        <v>35</v>
      </c>
      <c r="D38" s="53" t="str">
        <f t="shared" si="0"/>
        <v>Pending Readiness</v>
      </c>
      <c r="E38" s="52">
        <v>1</v>
      </c>
      <c r="F38" s="52" t="s">
        <v>145</v>
      </c>
      <c r="G38" s="46" t="str" cm="1">
        <f t="array" ref="G38">_xlfn.IFS(
   F38="Confirmed", "NA",
   F38="Ghosted", "NO",
   D38="Pending Readiness", "Not Yet",
   D38&gt;14, "YES",
   TRUE, "NO"
)</f>
        <v>Not Yet</v>
      </c>
      <c r="H38" s="41"/>
    </row>
    <row r="39" spans="1:8" x14ac:dyDescent="0.25">
      <c r="A39" s="40" t="s">
        <v>34</v>
      </c>
      <c r="B39" s="41" t="s">
        <v>33</v>
      </c>
      <c r="C39" s="41" t="s">
        <v>32</v>
      </c>
      <c r="D39" s="53" t="str">
        <f t="shared" si="0"/>
        <v>Pending Readiness</v>
      </c>
      <c r="E39" s="52">
        <v>1</v>
      </c>
      <c r="F39" s="52" t="s">
        <v>145</v>
      </c>
      <c r="G39" s="46" t="str" cm="1">
        <f t="array" ref="G39">_xlfn.IFS(
   F39="Confirmed", "NA",
   F39="Ghosted", "NO",
   D39="Pending Readiness", "Not Yet",
   D39&gt;14, "YES",
   TRUE, "NO"
)</f>
        <v>Not Yet</v>
      </c>
      <c r="H39" s="41"/>
    </row>
    <row r="40" spans="1:8" x14ac:dyDescent="0.25">
      <c r="A40" s="40" t="s">
        <v>31</v>
      </c>
      <c r="B40" s="41" t="s">
        <v>30</v>
      </c>
      <c r="C40" s="41" t="s">
        <v>29</v>
      </c>
      <c r="D40" s="53" t="str">
        <f t="shared" si="0"/>
        <v>Pending Readiness</v>
      </c>
      <c r="E40" s="52">
        <v>1</v>
      </c>
      <c r="F40" s="52" t="s">
        <v>145</v>
      </c>
      <c r="G40" s="46" t="str" cm="1">
        <f t="array" ref="G40">_xlfn.IFS(
   F40="Confirmed", "NA",
   F40="Ghosted", "NO",
   D40="Pending Readiness", "Not Yet",
   D40&gt;14, "YES",
   TRUE, "NO"
)</f>
        <v>Not Yet</v>
      </c>
      <c r="H40" s="41"/>
    </row>
    <row r="41" spans="1:8" x14ac:dyDescent="0.25">
      <c r="A41" s="40" t="s">
        <v>28</v>
      </c>
      <c r="B41" s="41" t="s">
        <v>27</v>
      </c>
      <c r="C41" s="41" t="s">
        <v>26</v>
      </c>
      <c r="D41" s="53" t="str">
        <f t="shared" si="0"/>
        <v>Pending Readiness</v>
      </c>
      <c r="E41" s="52">
        <v>1</v>
      </c>
      <c r="F41" s="52" t="s">
        <v>145</v>
      </c>
      <c r="G41" s="46" t="str" cm="1">
        <f t="array" ref="G41">_xlfn.IFS(
   F41="Confirmed", "NA",
   F41="Ghosted", "NO",
   D41="Pending Readiness", "Not Yet",
   D41&gt;14, "YES",
   TRUE, "NO"
)</f>
        <v>Not Yet</v>
      </c>
      <c r="H41" s="41"/>
    </row>
    <row r="42" spans="1:8" x14ac:dyDescent="0.25">
      <c r="A42" s="40" t="s">
        <v>25</v>
      </c>
      <c r="B42" s="41" t="s">
        <v>24</v>
      </c>
      <c r="C42" s="41" t="s">
        <v>23</v>
      </c>
      <c r="D42" s="53" t="str">
        <f t="shared" si="0"/>
        <v>Pending Readiness</v>
      </c>
      <c r="E42" s="52">
        <v>1</v>
      </c>
      <c r="F42" s="52" t="s">
        <v>145</v>
      </c>
      <c r="G42" s="46" t="str" cm="1">
        <f t="array" ref="G42">_xlfn.IFS(
   F42="Confirmed", "NA",
   F42="Ghosted", "NO",
   D42="Pending Readiness", "Not Yet",
   D42&gt;14, "YES",
   TRUE, "NO"
)</f>
        <v>Not Yet</v>
      </c>
      <c r="H42" s="41"/>
    </row>
    <row r="43" spans="1:8" x14ac:dyDescent="0.25">
      <c r="A43" s="40" t="s">
        <v>22</v>
      </c>
      <c r="B43" s="41" t="s">
        <v>21</v>
      </c>
      <c r="C43" s="41" t="s">
        <v>20</v>
      </c>
      <c r="D43" s="53" t="str">
        <f t="shared" si="0"/>
        <v>Pending Readiness</v>
      </c>
      <c r="E43" s="52">
        <v>1</v>
      </c>
      <c r="F43" s="52" t="s">
        <v>145</v>
      </c>
      <c r="G43" s="46" t="str" cm="1">
        <f t="array" ref="G43">_xlfn.IFS(
   F43="Confirmed", "NA",
   F43="Ghosted", "NO",
   D43="Pending Readiness", "Not Yet",
   D43&gt;14, "YES",
   TRUE, "NO"
)</f>
        <v>Not Yet</v>
      </c>
      <c r="H43" s="41"/>
    </row>
    <row r="44" spans="1:8" x14ac:dyDescent="0.25">
      <c r="A44" s="40" t="s">
        <v>19</v>
      </c>
      <c r="B44" s="41" t="s">
        <v>18</v>
      </c>
      <c r="C44" s="41" t="s">
        <v>17</v>
      </c>
      <c r="D44" s="53" t="str">
        <f t="shared" si="0"/>
        <v>Pending Readiness</v>
      </c>
      <c r="E44" s="52">
        <v>1</v>
      </c>
      <c r="F44" s="52" t="s">
        <v>145</v>
      </c>
      <c r="G44" s="46" t="str" cm="1">
        <f t="array" ref="G44">_xlfn.IFS(
   F44="Confirmed", "NA",
   F44="Ghosted", "NO",
   D44="Pending Readiness", "Not Yet",
   D44&gt;14, "YES",
   TRUE, "NO"
)</f>
        <v>Not Yet</v>
      </c>
      <c r="H44" s="41"/>
    </row>
  </sheetData>
  <mergeCells count="1">
    <mergeCell ref="A2:D2"/>
  </mergeCells>
  <conditionalFormatting sqref="F16:F29">
    <cfRule type="containsText" dxfId="20" priority="8" operator="containsText" text="Strong Potential">
      <formula>NOT(ISERROR(SEARCH("Strong Potential",F16)))</formula>
    </cfRule>
    <cfRule type="cellIs" dxfId="19" priority="9" operator="equal">
      <formula>"Ghosted"</formula>
    </cfRule>
    <cfRule type="cellIs" dxfId="18" priority="10" operator="equal">
      <formula>"On Hold"</formula>
    </cfRule>
    <cfRule type="containsText" dxfId="17" priority="11" operator="containsText" text="No response">
      <formula>NOT(ISERROR(SEARCH("No response",F16)))</formula>
    </cfRule>
    <cfRule type="containsText" dxfId="16" priority="12" operator="containsText" text="Active Interest">
      <formula>NOT(ISERROR(SEARCH("Active Interest",F16)))</formula>
    </cfRule>
  </conditionalFormatting>
  <conditionalFormatting sqref="F12:F44">
    <cfRule type="containsText" dxfId="15" priority="1" operator="containsText" text="Confirmed">
      <formula>NOT(ISERROR(SEARCH("Confirmed",F12)))</formula>
    </cfRule>
    <cfRule type="containsText" dxfId="14" priority="2" operator="containsText" text="Confirmed">
      <formula>NOT(ISERROR(SEARCH("Confirmed",F12)))</formula>
    </cfRule>
    <cfRule type="containsText" dxfId="13" priority="6" operator="containsText" text="Not Ready">
      <formula>NOT(ISERROR(SEARCH("Not Ready",F12)))</formula>
    </cfRule>
  </conditionalFormatting>
  <conditionalFormatting sqref="G12:G44">
    <cfRule type="containsText" dxfId="12" priority="3" operator="containsText" text="Not Yet">
      <formula>NOT(ISERROR(SEARCH("Not Yet",G12)))</formula>
    </cfRule>
    <cfRule type="containsText" dxfId="11" priority="4" operator="containsText" text="NO">
      <formula>NOT(ISERROR(SEARCH("NO",G12)))</formula>
    </cfRule>
    <cfRule type="containsText" dxfId="10" priority="5" operator="containsText" text="YES">
      <formula>NOT(ISERROR(SEARCH("YES",G12)))</formula>
    </cfRule>
  </conditionalFormatting>
  <conditionalFormatting sqref="E12:E44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C28" r:id="rId1" xr:uid="{61E55C88-A2AB-4869-9E62-32EE4092ADC4}"/>
  </hyperlinks>
  <pageMargins left="0.75" right="0.75" top="1" bottom="1" header="0.5" footer="0.5"/>
  <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ACCCDB-A88A-414C-B3BC-9A43CD9BB8BF}">
  <sheetPr codeName="Sheet7">
    <tabColor theme="3" tint="0.79998168889431442"/>
  </sheetPr>
  <dimension ref="A3:D31"/>
  <sheetViews>
    <sheetView workbookViewId="0">
      <selection activeCell="A30" sqref="A30"/>
    </sheetView>
  </sheetViews>
  <sheetFormatPr defaultRowHeight="15" x14ac:dyDescent="0.25"/>
  <cols>
    <col min="1" max="1" width="13.140625" bestFit="1" customWidth="1"/>
    <col min="2" max="2" width="22.7109375" bestFit="1" customWidth="1"/>
    <col min="3" max="3" width="15.140625" bestFit="1" customWidth="1"/>
    <col min="4" max="4" width="29.28515625" bestFit="1" customWidth="1"/>
    <col min="5" max="5" width="14.85546875" bestFit="1" customWidth="1"/>
    <col min="6" max="6" width="10.7109375" bestFit="1" customWidth="1"/>
    <col min="7" max="27" width="29.85546875" bestFit="1" customWidth="1"/>
    <col min="28" max="29" width="10.7109375" bestFit="1" customWidth="1"/>
  </cols>
  <sheetData>
    <row r="3" spans="1:3" x14ac:dyDescent="0.25">
      <c r="A3" s="21" t="s">
        <v>132</v>
      </c>
      <c r="B3" t="s">
        <v>139</v>
      </c>
      <c r="C3" t="s">
        <v>134</v>
      </c>
    </row>
    <row r="4" spans="1:3" x14ac:dyDescent="0.25">
      <c r="A4" s="22" t="s">
        <v>13</v>
      </c>
      <c r="B4" s="96">
        <v>4</v>
      </c>
      <c r="C4" s="96">
        <v>4</v>
      </c>
    </row>
    <row r="5" spans="1:3" x14ac:dyDescent="0.25">
      <c r="A5" s="22" t="s">
        <v>7</v>
      </c>
      <c r="B5" s="96">
        <v>11</v>
      </c>
      <c r="C5" s="96">
        <v>11</v>
      </c>
    </row>
    <row r="6" spans="1:3" x14ac:dyDescent="0.25">
      <c r="A6" s="22" t="s">
        <v>6</v>
      </c>
      <c r="B6" s="96">
        <v>0</v>
      </c>
      <c r="C6" s="96">
        <v>12</v>
      </c>
    </row>
    <row r="7" spans="1:3" x14ac:dyDescent="0.25">
      <c r="A7" s="22" t="s">
        <v>14</v>
      </c>
      <c r="B7" s="96">
        <v>2</v>
      </c>
      <c r="C7" s="96">
        <v>2</v>
      </c>
    </row>
    <row r="8" spans="1:3" x14ac:dyDescent="0.25">
      <c r="A8" s="22" t="s">
        <v>11</v>
      </c>
      <c r="B8" s="96">
        <v>4</v>
      </c>
      <c r="C8" s="96">
        <v>4</v>
      </c>
    </row>
    <row r="9" spans="1:3" x14ac:dyDescent="0.25">
      <c r="A9" s="22" t="s">
        <v>9</v>
      </c>
      <c r="B9" s="96">
        <v>4</v>
      </c>
      <c r="C9" s="96">
        <v>8</v>
      </c>
    </row>
    <row r="10" spans="1:3" x14ac:dyDescent="0.25">
      <c r="A10" s="22" t="s">
        <v>12</v>
      </c>
      <c r="B10" s="96">
        <v>2</v>
      </c>
      <c r="C10" s="96">
        <v>2</v>
      </c>
    </row>
    <row r="11" spans="1:3" x14ac:dyDescent="0.25">
      <c r="A11" s="22" t="s">
        <v>8</v>
      </c>
      <c r="B11" s="96">
        <v>8</v>
      </c>
      <c r="C11" s="96">
        <v>8</v>
      </c>
    </row>
    <row r="12" spans="1:3" x14ac:dyDescent="0.25">
      <c r="A12" s="22" t="s">
        <v>10</v>
      </c>
      <c r="B12" s="96">
        <v>0</v>
      </c>
      <c r="C12" s="96">
        <v>8</v>
      </c>
    </row>
    <row r="13" spans="1:3" x14ac:dyDescent="0.25">
      <c r="A13" s="22" t="s">
        <v>5</v>
      </c>
      <c r="B13" s="96">
        <v>0</v>
      </c>
      <c r="C13" s="96">
        <v>16</v>
      </c>
    </row>
    <row r="14" spans="1:3" x14ac:dyDescent="0.25">
      <c r="A14" s="22" t="s">
        <v>133</v>
      </c>
      <c r="B14" s="96">
        <v>35</v>
      </c>
      <c r="C14" s="96">
        <v>75</v>
      </c>
    </row>
    <row r="17" spans="1:4" x14ac:dyDescent="0.25">
      <c r="A17" s="21" t="s">
        <v>132</v>
      </c>
      <c r="B17" t="s">
        <v>139</v>
      </c>
      <c r="C17" t="s">
        <v>138</v>
      </c>
      <c r="D17" t="s">
        <v>140</v>
      </c>
    </row>
    <row r="18" spans="1:4" x14ac:dyDescent="0.25">
      <c r="A18" s="22" t="s">
        <v>13</v>
      </c>
      <c r="B18" s="96">
        <v>4</v>
      </c>
      <c r="C18" s="96">
        <v>1</v>
      </c>
      <c r="D18" s="96">
        <v>1</v>
      </c>
    </row>
    <row r="19" spans="1:4" x14ac:dyDescent="0.25">
      <c r="A19" s="22" t="s">
        <v>7</v>
      </c>
      <c r="B19" s="96">
        <v>11</v>
      </c>
      <c r="C19" s="96">
        <v>1</v>
      </c>
      <c r="D19" s="96">
        <v>1</v>
      </c>
    </row>
    <row r="20" spans="1:4" x14ac:dyDescent="0.25">
      <c r="A20" s="22" t="s">
        <v>6</v>
      </c>
      <c r="B20" s="96">
        <v>0</v>
      </c>
      <c r="C20" s="96">
        <v>0</v>
      </c>
      <c r="D20" s="96">
        <v>1</v>
      </c>
    </row>
    <row r="21" spans="1:4" x14ac:dyDescent="0.25">
      <c r="A21" s="22" t="s">
        <v>14</v>
      </c>
      <c r="B21" s="96">
        <v>2</v>
      </c>
      <c r="C21" s="96">
        <v>1</v>
      </c>
      <c r="D21" s="96">
        <v>1</v>
      </c>
    </row>
    <row r="22" spans="1:4" x14ac:dyDescent="0.25">
      <c r="A22" s="22" t="s">
        <v>11</v>
      </c>
      <c r="B22" s="96">
        <v>4</v>
      </c>
      <c r="C22" s="96">
        <v>1</v>
      </c>
      <c r="D22" s="96">
        <v>1</v>
      </c>
    </row>
    <row r="23" spans="1:4" x14ac:dyDescent="0.25">
      <c r="A23" s="22" t="s">
        <v>9</v>
      </c>
      <c r="B23" s="96">
        <v>4</v>
      </c>
      <c r="C23" s="96">
        <v>0.5</v>
      </c>
      <c r="D23" s="96">
        <v>1</v>
      </c>
    </row>
    <row r="24" spans="1:4" x14ac:dyDescent="0.25">
      <c r="A24" s="22" t="s">
        <v>12</v>
      </c>
      <c r="B24" s="96">
        <v>2</v>
      </c>
      <c r="C24" s="96">
        <v>1</v>
      </c>
      <c r="D24" s="96">
        <v>1</v>
      </c>
    </row>
    <row r="25" spans="1:4" x14ac:dyDescent="0.25">
      <c r="A25" s="22" t="s">
        <v>8</v>
      </c>
      <c r="B25" s="96">
        <v>8</v>
      </c>
      <c r="C25" s="96">
        <v>1</v>
      </c>
      <c r="D25" s="96">
        <v>1</v>
      </c>
    </row>
    <row r="26" spans="1:4" x14ac:dyDescent="0.25">
      <c r="A26" s="22" t="s">
        <v>10</v>
      </c>
      <c r="B26" s="96">
        <v>0</v>
      </c>
      <c r="C26" s="96">
        <v>0</v>
      </c>
      <c r="D26" s="96">
        <v>1</v>
      </c>
    </row>
    <row r="27" spans="1:4" x14ac:dyDescent="0.25">
      <c r="A27" s="22" t="s">
        <v>5</v>
      </c>
      <c r="B27" s="96">
        <v>0</v>
      </c>
      <c r="C27" s="96">
        <v>0</v>
      </c>
      <c r="D27" s="96">
        <v>1</v>
      </c>
    </row>
    <row r="28" spans="1:4" x14ac:dyDescent="0.25">
      <c r="A28" s="22" t="s">
        <v>133</v>
      </c>
      <c r="B28" s="96">
        <v>35</v>
      </c>
      <c r="C28" s="96">
        <v>6.5</v>
      </c>
      <c r="D28" s="96">
        <v>10</v>
      </c>
    </row>
    <row r="29" spans="1:4" x14ac:dyDescent="0.25">
      <c r="A29" s="22"/>
    </row>
    <row r="30" spans="1:4" x14ac:dyDescent="0.25">
      <c r="A30" t="s">
        <v>165</v>
      </c>
      <c r="B30" t="s">
        <v>163</v>
      </c>
    </row>
    <row r="31" spans="1:4" x14ac:dyDescent="0.25">
      <c r="A31" s="59">
        <v>0.35</v>
      </c>
      <c r="B31" s="59">
        <v>0.65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1D9416-6AE1-4027-9774-E570DFD47CC2}">
  <sheetPr codeName="Sheet4">
    <tabColor theme="0" tint="-0.249977111117893"/>
  </sheetPr>
  <dimension ref="A1:E25"/>
  <sheetViews>
    <sheetView zoomScale="96" zoomScaleNormal="85" workbookViewId="0">
      <selection activeCell="D20" sqref="D20"/>
    </sheetView>
  </sheetViews>
  <sheetFormatPr defaultRowHeight="15" x14ac:dyDescent="0.25"/>
  <cols>
    <col min="1" max="1" width="31.140625" bestFit="1" customWidth="1"/>
    <col min="2" max="2" width="31" bestFit="1" customWidth="1"/>
    <col min="3" max="3" width="12.7109375" bestFit="1" customWidth="1"/>
    <col min="4" max="4" width="22.7109375" customWidth="1"/>
    <col min="5" max="5" width="14.140625" customWidth="1"/>
    <col min="7" max="7" width="25.7109375" bestFit="1" customWidth="1"/>
    <col min="8" max="8" width="9.7109375" bestFit="1" customWidth="1"/>
    <col min="9" max="9" width="12.7109375" bestFit="1" customWidth="1"/>
    <col min="10" max="10" width="22.5703125" bestFit="1" customWidth="1"/>
    <col min="11" max="11" width="14.140625" bestFit="1" customWidth="1"/>
  </cols>
  <sheetData>
    <row r="1" spans="1:5" s="1" customFormat="1" ht="15.75" thickBot="1" x14ac:dyDescent="0.3">
      <c r="A1" s="11" t="s">
        <v>109</v>
      </c>
      <c r="B1" s="11" t="s">
        <v>110</v>
      </c>
      <c r="C1" s="11" t="s">
        <v>16</v>
      </c>
      <c r="D1" s="11" t="s">
        <v>111</v>
      </c>
      <c r="E1" s="11" t="s">
        <v>112</v>
      </c>
    </row>
    <row r="2" spans="1:5" x14ac:dyDescent="0.25">
      <c r="A2" t="s">
        <v>113</v>
      </c>
      <c r="B2">
        <v>250</v>
      </c>
      <c r="C2" s="12">
        <f>IF(B2&lt;=Optimization!$B$14, Optimization!$B$15, Optimization!$B$15*B2/Optimization!$B$14)</f>
        <v>15089.285714285714</v>
      </c>
      <c r="D2">
        <f>MAX(0,B2-Optimization!$B$14)</f>
        <v>215</v>
      </c>
      <c r="E2" s="7">
        <f>IF(B2=0,0,C2/(B2-D2))</f>
        <v>431.12244897959181</v>
      </c>
    </row>
    <row r="3" spans="1:5" x14ac:dyDescent="0.25">
      <c r="A3" t="s">
        <v>114</v>
      </c>
      <c r="B3">
        <v>500</v>
      </c>
      <c r="C3" s="12">
        <f>IF(B3&lt;=Optimization!$B$14, Optimization!$B$15, Optimization!$B$15*B3/Optimization!$B$14)</f>
        <v>30178.571428571428</v>
      </c>
      <c r="D3">
        <f>MAX(0,B3-Optimization!$B$14)</f>
        <v>465</v>
      </c>
      <c r="E3" s="7">
        <f>IF(B3=0,0,C3/(B3-D3))</f>
        <v>862.24489795918362</v>
      </c>
    </row>
    <row r="4" spans="1:5" x14ac:dyDescent="0.25">
      <c r="A4" t="s">
        <v>115</v>
      </c>
      <c r="B4">
        <v>750</v>
      </c>
      <c r="C4" s="12">
        <f>IF(B4&lt;=Optimization!$B$14, Optimization!$B$15, Optimization!$B$15*B4/Optimization!$B$14)</f>
        <v>45267.857142857145</v>
      </c>
      <c r="D4">
        <f>MAX(0,B4-Optimization!$B$14)</f>
        <v>715</v>
      </c>
      <c r="E4" s="7">
        <f>IF(B4=0,0,C4/(B4-D4))</f>
        <v>1293.3673469387757</v>
      </c>
    </row>
    <row r="5" spans="1:5" x14ac:dyDescent="0.25">
      <c r="A5" t="s">
        <v>116</v>
      </c>
      <c r="B5">
        <v>1000</v>
      </c>
      <c r="C5" s="12">
        <f>IF(B5&lt;=Optimization!$B$14, Optimization!$B$15, Optimization!$B$15*B5/Optimization!$B$14)</f>
        <v>60357.142857142855</v>
      </c>
      <c r="D5">
        <f>MAX(0,B5-Optimization!$B$14)</f>
        <v>965</v>
      </c>
      <c r="E5" s="7">
        <f>IF(B5=0,0,C5/(B5-D5))</f>
        <v>1724.4897959183672</v>
      </c>
    </row>
    <row r="8" spans="1:5" ht="15.75" thickBot="1" x14ac:dyDescent="0.3"/>
    <row r="9" spans="1:5" ht="15.75" thickBot="1" x14ac:dyDescent="0.3">
      <c r="A9" s="10" t="s">
        <v>0</v>
      </c>
      <c r="B9" s="10" t="s">
        <v>120</v>
      </c>
    </row>
    <row r="10" spans="1:5" x14ac:dyDescent="0.25">
      <c r="A10" t="s">
        <v>5</v>
      </c>
      <c r="B10" s="3">
        <v>1</v>
      </c>
    </row>
    <row r="11" spans="1:5" x14ac:dyDescent="0.25">
      <c r="A11" t="s">
        <v>6</v>
      </c>
      <c r="B11" s="3">
        <v>1</v>
      </c>
    </row>
    <row r="12" spans="1:5" x14ac:dyDescent="0.25">
      <c r="A12" t="s">
        <v>7</v>
      </c>
      <c r="B12" s="3">
        <v>1</v>
      </c>
    </row>
    <row r="13" spans="1:5" x14ac:dyDescent="0.25">
      <c r="A13" t="s">
        <v>8</v>
      </c>
      <c r="B13" s="3">
        <f>1</f>
        <v>1</v>
      </c>
    </row>
    <row r="14" spans="1:5" x14ac:dyDescent="0.25">
      <c r="A14" t="s">
        <v>9</v>
      </c>
      <c r="B14" s="3">
        <v>1</v>
      </c>
    </row>
    <row r="15" spans="1:5" x14ac:dyDescent="0.25">
      <c r="A15" t="s">
        <v>10</v>
      </c>
      <c r="B15" s="3">
        <v>1</v>
      </c>
    </row>
    <row r="16" spans="1:5" x14ac:dyDescent="0.25">
      <c r="A16" t="s">
        <v>11</v>
      </c>
      <c r="B16" s="3">
        <v>1</v>
      </c>
    </row>
    <row r="17" spans="1:5" x14ac:dyDescent="0.25">
      <c r="A17" t="s">
        <v>12</v>
      </c>
      <c r="B17" s="3">
        <v>1</v>
      </c>
    </row>
    <row r="18" spans="1:5" x14ac:dyDescent="0.25">
      <c r="A18" t="s">
        <v>13</v>
      </c>
      <c r="B18" s="3">
        <v>1</v>
      </c>
    </row>
    <row r="19" spans="1:5" x14ac:dyDescent="0.25">
      <c r="A19" t="s">
        <v>14</v>
      </c>
      <c r="B19" s="3">
        <v>1</v>
      </c>
    </row>
    <row r="21" spans="1:5" ht="15.75" thickBot="1" x14ac:dyDescent="0.3">
      <c r="A21" s="11" t="s">
        <v>127</v>
      </c>
      <c r="B21" s="11" t="s">
        <v>110</v>
      </c>
      <c r="C21" s="11" t="s">
        <v>16</v>
      </c>
      <c r="D21" s="11" t="s">
        <v>111</v>
      </c>
      <c r="E21" s="11" t="s">
        <v>112</v>
      </c>
    </row>
    <row r="22" spans="1:5" x14ac:dyDescent="0.25">
      <c r="A22" t="s">
        <v>125</v>
      </c>
      <c r="B22">
        <v>75</v>
      </c>
      <c r="C22" s="12">
        <f>IF(B22&lt;=Optimization!$B$14, Optimization!$B$15, Optimization!$B$15*B22/Optimization!$B$14)</f>
        <v>4526.7857142857147</v>
      </c>
      <c r="D22">
        <f>MAX(0,B22-Optimization!$B$14)</f>
        <v>40</v>
      </c>
      <c r="E22" s="7">
        <f>IF(B22=0,0,C22/(B22-D22))</f>
        <v>129.33673469387756</v>
      </c>
    </row>
    <row r="23" spans="1:5" x14ac:dyDescent="0.25">
      <c r="A23" t="s">
        <v>126</v>
      </c>
      <c r="B23">
        <v>30</v>
      </c>
      <c r="C23" s="12">
        <f>IF(B23&lt;=Optimization!$B$14, Optimization!$B$15, Optimization!$B$15*B23/Optimization!$B$14)</f>
        <v>2112.5</v>
      </c>
      <c r="D23">
        <f>MAX(0,B23-Optimization!$B$14)</f>
        <v>0</v>
      </c>
      <c r="E23" s="7">
        <f>IF(B23=0,0,C23/(B23-D23))</f>
        <v>70.416666666666671</v>
      </c>
    </row>
    <row r="24" spans="1:5" x14ac:dyDescent="0.25">
      <c r="A24" t="s">
        <v>128</v>
      </c>
      <c r="B24">
        <v>20</v>
      </c>
      <c r="C24" s="12">
        <f>IF(B24&lt;=Optimization!$B$14, Optimization!$B$15, Optimization!$B$15*B24/Optimization!$B$14)</f>
        <v>2112.5</v>
      </c>
      <c r="D24">
        <f>MAX(0,B24-Optimization!$B$14)</f>
        <v>0</v>
      </c>
      <c r="E24" s="7">
        <f>IF(B24=0,0,C24/(B24-D24))</f>
        <v>105.625</v>
      </c>
    </row>
    <row r="25" spans="1:5" x14ac:dyDescent="0.25">
      <c r="A25" t="s">
        <v>129</v>
      </c>
      <c r="B25">
        <v>75</v>
      </c>
      <c r="C25" s="12">
        <f>IF(B25&lt;=Optimization!$B$14, Optimization!$B$15, Optimization!$B$15*B25/Optimization!$B$14)</f>
        <v>4526.7857142857147</v>
      </c>
      <c r="D25">
        <f>MAX(0,B25-Optimization!$B$14)</f>
        <v>40</v>
      </c>
      <c r="E25" s="7">
        <f>IF(B25=0,0,C25/(B25-D25))</f>
        <v>129.33673469387756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Homebase</vt:lpstr>
      <vt:lpstr>Documentation</vt:lpstr>
      <vt:lpstr>Optimization</vt:lpstr>
      <vt:lpstr>Partnership List</vt:lpstr>
      <vt:lpstr>Pivot Tables - Visuals</vt:lpstr>
      <vt:lpstr>Scenario Testing</vt:lpstr>
      <vt:lpstr>Partnership_Data</vt:lpstr>
      <vt:lpstr>Homebase!Print_Area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Khang Lai</dc:creator>
  <cp:lastModifiedBy>Khang Lai</cp:lastModifiedBy>
  <dcterms:created xsi:type="dcterms:W3CDTF">2025-04-29T20:19:51Z</dcterms:created>
  <dcterms:modified xsi:type="dcterms:W3CDTF">2026-07-15T19:40:25Z</dcterms:modified>
</cp:coreProperties>
</file>